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islord247/Desktop/ecorp Project Folder/"/>
    </mc:Choice>
  </mc:AlternateContent>
  <xr:revisionPtr revIDLastSave="0" documentId="13_ncr:1_{109ED10E-3F1C-3640-8DFA-E923D22EFC56}" xr6:coauthVersionLast="47" xr6:coauthVersionMax="47" xr10:uidLastSave="{00000000-0000-0000-0000-000000000000}"/>
  <bookViews>
    <workbookView xWindow="0" yWindow="760" windowWidth="30240" windowHeight="17700" xr2:uid="{471E9B3E-1423-A84E-88D8-39BDE7E0AB7B}"/>
  </bookViews>
  <sheets>
    <sheet name="ecorp_customer_info_dataset_USE" sheetId="2" r:id="rId1"/>
  </sheets>
  <definedNames>
    <definedName name="ExternalData_1" localSheetId="0" hidden="1">ecorp_customer_info_dataset_USE!$A$1:$L$1201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1202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N2" i="2"/>
  <c r="N120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A877A-79DF-F24F-95EE-5617A52E3377}" keepAlive="1" name="Query - ecorp_customer_info_dataset" description="Connection to the 'ecorp_customer_info_dataset' query in the workbook." type="5" refreshedVersion="8" background="1" saveData="1">
    <dbPr connection="Provider=Microsoft.Mashup.OleDb.1;Data Source=$Workbook$;Location=ecorp_customer_info_dataset;Extended Properties=&quot;&quot;" command="SELECT * FROM [ecorp_customer_info_dataset]"/>
  </connection>
</connections>
</file>

<file path=xl/sharedStrings.xml><?xml version="1.0" encoding="utf-8"?>
<sst xmlns="http://schemas.openxmlformats.org/spreadsheetml/2006/main" count="7216" uniqueCount="120">
  <si>
    <t>Customer ID</t>
  </si>
  <si>
    <t>ZipCode</t>
  </si>
  <si>
    <t>Income Level</t>
  </si>
  <si>
    <t>Housing Type</t>
  </si>
  <si>
    <t>Join Date</t>
  </si>
  <si>
    <t>Program Name</t>
  </si>
  <si>
    <t>Enrollment Date</t>
  </si>
  <si>
    <t>Program Cost</t>
  </si>
  <si>
    <t>Usage Date</t>
  </si>
  <si>
    <t>Kwh Used</t>
  </si>
  <si>
    <t>Temperature F</t>
  </si>
  <si>
    <t>TemperatureCategory</t>
  </si>
  <si>
    <t>CUST0001</t>
  </si>
  <si>
    <t>Medium</t>
  </si>
  <si>
    <t>Multi-Family</t>
  </si>
  <si>
    <t/>
  </si>
  <si>
    <t>Mild (40–70°F)</t>
  </si>
  <si>
    <t>CUST0016</t>
  </si>
  <si>
    <t>Apartment</t>
  </si>
  <si>
    <t>Cold (&lt;40°F)</t>
  </si>
  <si>
    <t>Hot (&gt;70°F)</t>
  </si>
  <si>
    <t>CUST0032</t>
  </si>
  <si>
    <t>Single Family</t>
  </si>
  <si>
    <t>CUST0036</t>
  </si>
  <si>
    <t>High</t>
  </si>
  <si>
    <t>CUST0046</t>
  </si>
  <si>
    <t>CUST0022</t>
  </si>
  <si>
    <t>CUST0027</t>
  </si>
  <si>
    <t>Low</t>
  </si>
  <si>
    <t>CUST0048</t>
  </si>
  <si>
    <t>CUST0049</t>
  </si>
  <si>
    <t>CUST0031</t>
  </si>
  <si>
    <t>CUST0004</t>
  </si>
  <si>
    <t>Lighting Retrofit</t>
  </si>
  <si>
    <t>246.24</t>
  </si>
  <si>
    <t>CUST0006</t>
  </si>
  <si>
    <t>Smart Thermostat</t>
  </si>
  <si>
    <t>428.96</t>
  </si>
  <si>
    <t>CUST0009</t>
  </si>
  <si>
    <t>HVAC Tune-up</t>
  </si>
  <si>
    <t>796.19</t>
  </si>
  <si>
    <t>CUST0010</t>
  </si>
  <si>
    <t>694.07</t>
  </si>
  <si>
    <t>CUST0013</t>
  </si>
  <si>
    <t>637.99</t>
  </si>
  <si>
    <t>CUST0017</t>
  </si>
  <si>
    <t>Insulation Upgrade</t>
  </si>
  <si>
    <t>449.44</t>
  </si>
  <si>
    <t>CUST0019</t>
  </si>
  <si>
    <t>149.29</t>
  </si>
  <si>
    <t>CUST0023</t>
  </si>
  <si>
    <t>325.79</t>
  </si>
  <si>
    <t>CUST0035</t>
  </si>
  <si>
    <t>486.97</t>
  </si>
  <si>
    <t>CUST0047</t>
  </si>
  <si>
    <t>277.91</t>
  </si>
  <si>
    <t>CUST0002</t>
  </si>
  <si>
    <t>486.94</t>
  </si>
  <si>
    <t>CUST0021</t>
  </si>
  <si>
    <t>786.23</t>
  </si>
  <si>
    <t>CUST0025</t>
  </si>
  <si>
    <t>279.34</t>
  </si>
  <si>
    <t>CUST0044</t>
  </si>
  <si>
    <t>295.69</t>
  </si>
  <si>
    <t>CUST0000</t>
  </si>
  <si>
    <t>103.63</t>
  </si>
  <si>
    <t>CUST0003</t>
  </si>
  <si>
    <t>596.24</t>
  </si>
  <si>
    <t>CUST0005</t>
  </si>
  <si>
    <t>307.56</t>
  </si>
  <si>
    <t>CUST0007</t>
  </si>
  <si>
    <t>500.4</t>
  </si>
  <si>
    <t>CUST0008</t>
  </si>
  <si>
    <t>233.64</t>
  </si>
  <si>
    <t>CUST0011</t>
  </si>
  <si>
    <t>313.99</t>
  </si>
  <si>
    <t>CUST0024</t>
  </si>
  <si>
    <t>130.52</t>
  </si>
  <si>
    <t>CUST0043</t>
  </si>
  <si>
    <t>195.63</t>
  </si>
  <si>
    <t>CUST0012</t>
  </si>
  <si>
    <t>500.6</t>
  </si>
  <si>
    <t>CUST0028</t>
  </si>
  <si>
    <t>690.95</t>
  </si>
  <si>
    <t>CUST0041</t>
  </si>
  <si>
    <t>393.85</t>
  </si>
  <si>
    <t>CUST0014</t>
  </si>
  <si>
    <t>767.15</t>
  </si>
  <si>
    <t>CUST0015</t>
  </si>
  <si>
    <t>360.88</t>
  </si>
  <si>
    <t>CUST0030</t>
  </si>
  <si>
    <t>376.28</t>
  </si>
  <si>
    <t>CUST0038</t>
  </si>
  <si>
    <t>623.4</t>
  </si>
  <si>
    <t>CUST0045</t>
  </si>
  <si>
    <t>528.06</t>
  </si>
  <si>
    <t>CUST0029</t>
  </si>
  <si>
    <t>569.8</t>
  </si>
  <si>
    <t>CUST0037</t>
  </si>
  <si>
    <t>751.01</t>
  </si>
  <si>
    <t>CUST0020</t>
  </si>
  <si>
    <t>152.74</t>
  </si>
  <si>
    <t>CUST0039</t>
  </si>
  <si>
    <t>287.93</t>
  </si>
  <si>
    <t>CUST0042</t>
  </si>
  <si>
    <t>439.7</t>
  </si>
  <si>
    <t>CUST0018</t>
  </si>
  <si>
    <t>157.12</t>
  </si>
  <si>
    <t>CUST0040</t>
  </si>
  <si>
    <t>331.53</t>
  </si>
  <si>
    <t>CUST0026</t>
  </si>
  <si>
    <t>306.7</t>
  </si>
  <si>
    <t>CUST0033</t>
  </si>
  <si>
    <t>718.45</t>
  </si>
  <si>
    <t>CUST0034</t>
  </si>
  <si>
    <t>351.05</t>
  </si>
  <si>
    <t>kWh_Pre_Program</t>
  </si>
  <si>
    <t>Total</t>
  </si>
  <si>
    <t>kWh_Post_Program</t>
  </si>
  <si>
    <t>Total kWh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</si>
</sst>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19" formatCode="m/d/yy"/>
    </dxf>
    <dxf>
      <numFmt numFmtId="0" formatCode="General"/>
    </dxf>
    <dxf>
      <numFmt numFmtId="165" formatCode="yyyy\-mm\-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A3A63E-5C78-A44B-8138-BEA7F9004962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Customer ID" tableColumnId="1"/>
      <queryTableField id="2" name="ZipCode" tableColumnId="2"/>
      <queryTableField id="3" name="Income Level" tableColumnId="3"/>
      <queryTableField id="4" name="Housing Type" tableColumnId="4"/>
      <queryTableField id="5" name="Join Date" tableColumnId="5"/>
      <queryTableField id="6" name="Program Name" tableColumnId="6"/>
      <queryTableField id="7" name="Enrollment Date" tableColumnId="7"/>
      <queryTableField id="8" name="Program Cost" tableColumnId="8"/>
      <queryTableField id="9" name="Usage Date" tableColumnId="9"/>
      <queryTableField id="10" name="Kwh Used" tableColumnId="10"/>
      <queryTableField id="11" name="Temperature F" tableColumnId="11"/>
      <queryTableField id="12" name="TemperatureCategory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3CC02-7203-D742-A16E-12420D9D4FA9}" name="ecorp_customer_info_dataset" displayName="ecorp_customer_info_dataset" ref="A1:O1202" tableType="queryTable" totalsRowCount="1">
  <autoFilter ref="A1:O1201" xr:uid="{C903CC02-7203-D742-A16E-12420D9D4FA9}"/>
  <tableColumns count="15">
    <tableColumn id="1" xr3:uid="{EDDC1067-D125-9F4E-8998-F5B431C318A1}" uniqueName="1" name="Customer ID" totalsRowLabel="Total" queryTableFieldId="1" dataDxfId="11"/>
    <tableColumn id="2" xr3:uid="{CDB5D689-26CB-FC40-B183-2E47312FFDB2}" uniqueName="2" name="ZipCode" queryTableFieldId="2"/>
    <tableColumn id="3" xr3:uid="{530A5243-7CF2-E941-B3A5-638A8790BEB0}" uniqueName="3" name="Income Level" queryTableFieldId="3" dataDxfId="10"/>
    <tableColumn id="4" xr3:uid="{DAF6EED4-F3E4-1147-A24C-3B949E5727B5}" uniqueName="4" name="Housing Type" queryTableFieldId="4" dataDxfId="9"/>
    <tableColumn id="5" xr3:uid="{763920E1-FFC4-6445-9C42-9D0F1F0B49D3}" uniqueName="5" name="Join Date" queryTableFieldId="5" dataDxfId="8"/>
    <tableColumn id="6" xr3:uid="{F2C3F352-E975-F146-A6FE-D919E8207882}" uniqueName="6" name="Program Name" queryTableFieldId="6" dataDxfId="7"/>
    <tableColumn id="7" xr3:uid="{DF188A9D-458A-E34B-96BE-55983C2EE5AF}" uniqueName="7" name="Enrollment Date" queryTableFieldId="7" dataDxfId="6"/>
    <tableColumn id="8" xr3:uid="{C460F167-339A-AA46-9EFC-92431867F70D}" uniqueName="8" name="Program Cost" queryTableFieldId="8" dataDxfId="5"/>
    <tableColumn id="9" xr3:uid="{3FC645E1-83D2-F249-A6C2-3527746F92F5}" uniqueName="9" name="Usage Date" queryTableFieldId="9" dataDxfId="4"/>
    <tableColumn id="10" xr3:uid="{D776839D-35E4-2048-9506-CAB8C526ED22}" uniqueName="10" name="Kwh Used" queryTableFieldId="10"/>
    <tableColumn id="11" xr3:uid="{3997E075-4B5C-514B-847A-73A4FD527A66}" uniqueName="11" name="Temperature F" queryTableFieldId="11"/>
    <tableColumn id="12" xr3:uid="{EECF063F-694F-8047-AECB-DA3E650ECC4A}" uniqueName="12" name="TemperatureCategory" queryTableFieldId="12" dataDxfId="3"/>
    <tableColumn id="13" xr3:uid="{0C381E78-1D59-7C40-94CF-ACE48A1EB1D4}" uniqueName="13" name="kWh_Pre_Program" totalsRowFunction="sum" queryTableFieldId="13" dataDxfId="2">
      <calculatedColumnFormula>SUMIFS(J2,I2, "&lt;" &amp;G2,I2,"&lt;&gt;",G2,"&lt;&gt;")</calculatedColumnFormula>
    </tableColumn>
    <tableColumn id="14" xr3:uid="{E8D28085-6723-1F42-AFCD-B42A2BD187ED}" uniqueName="14" name="kWh_Post_Program" totalsRowFunction="sum" queryTableFieldId="14" dataDxfId="1">
      <calculatedColumnFormula>SUMIFS(J2,I2, "&gt;=" &amp;G2,I2,"&lt;&gt;",G2,"&lt;&gt;")</calculatedColumnFormula>
    </tableColumn>
    <tableColumn id="15" xr3:uid="{F1AD2EB0-E159-BA41-8E30-2FB8F53B0F94}" uniqueName="15" name="Total kWh Saved" totalsRowFunction="sum" queryTableFieldId="15" dataDxfId="0">
      <calculatedColumnFormula>SUM(M2-N2)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7F9E-6993-7742-9611-860685DB9AF8}">
  <dimension ref="A1:O1202"/>
  <sheetViews>
    <sheetView tabSelected="1" topLeftCell="A2" workbookViewId="0">
      <selection activeCell="K578" sqref="K578"/>
    </sheetView>
  </sheetViews>
  <sheetFormatPr baseColWidth="10" defaultRowHeight="16" x14ac:dyDescent="0.2"/>
  <cols>
    <col min="1" max="1" width="14.1640625" bestFit="1" customWidth="1"/>
    <col min="2" max="2" width="10.5" bestFit="1" customWidth="1"/>
    <col min="3" max="4" width="14.5" bestFit="1" customWidth="1"/>
    <col min="5" max="5" width="11.1640625" bestFit="1" customWidth="1"/>
    <col min="6" max="6" width="16.33203125" bestFit="1" customWidth="1"/>
    <col min="7" max="7" width="17" bestFit="1" customWidth="1"/>
    <col min="8" max="8" width="15.1640625" bestFit="1" customWidth="1"/>
    <col min="9" max="9" width="13.1640625" bestFit="1" customWidth="1"/>
    <col min="10" max="10" width="11.6640625" bestFit="1" customWidth="1"/>
    <col min="11" max="11" width="15.5" bestFit="1" customWidth="1"/>
    <col min="12" max="12" width="21.83203125" bestFit="1" customWidth="1"/>
    <col min="13" max="13" width="21.5" customWidth="1"/>
    <col min="14" max="15" width="21.83203125" customWidth="1"/>
    <col min="16" max="16" width="21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116</v>
      </c>
      <c r="N1" t="s">
        <v>118</v>
      </c>
      <c r="O1" t="s">
        <v>119</v>
      </c>
    </row>
    <row r="2" spans="1:15" x14ac:dyDescent="0.2">
      <c r="A2" t="s">
        <v>12</v>
      </c>
      <c r="B2">
        <v>60565</v>
      </c>
      <c r="C2" t="s">
        <v>13</v>
      </c>
      <c r="D2" t="s">
        <v>14</v>
      </c>
      <c r="E2" s="3">
        <v>44655</v>
      </c>
      <c r="F2" t="s">
        <v>15</v>
      </c>
      <c r="G2" s="1"/>
      <c r="H2" t="s">
        <v>15</v>
      </c>
      <c r="I2" s="2">
        <v>44562</v>
      </c>
      <c r="J2">
        <v>959.3</v>
      </c>
      <c r="K2">
        <v>43</v>
      </c>
      <c r="L2" t="s">
        <v>16</v>
      </c>
      <c r="M2">
        <f t="shared" ref="M2:M65" si="0">SUMIFS(J2,I2, "&lt;" &amp;G2,I2,"&lt;&gt;",G2,"&lt;&gt;")</f>
        <v>0</v>
      </c>
      <c r="N2">
        <f t="shared" ref="N2:N65" si="1">SUMIFS(J2,I2, "&gt;=" &amp;G2,I2,"&lt;&gt;",G2,"&lt;&gt;")</f>
        <v>0</v>
      </c>
      <c r="O2">
        <f t="shared" ref="O2:O65" si="2">SUM(M2-N2)</f>
        <v>0</v>
      </c>
    </row>
    <row r="3" spans="1:15" x14ac:dyDescent="0.2">
      <c r="A3" t="s">
        <v>17</v>
      </c>
      <c r="B3">
        <v>60565</v>
      </c>
      <c r="C3" t="s">
        <v>13</v>
      </c>
      <c r="D3" t="s">
        <v>18</v>
      </c>
      <c r="E3" s="3">
        <v>44780</v>
      </c>
      <c r="F3" t="s">
        <v>15</v>
      </c>
      <c r="G3" s="1"/>
      <c r="H3" t="s">
        <v>15</v>
      </c>
      <c r="I3" s="2">
        <v>44562</v>
      </c>
      <c r="J3">
        <v>794.82</v>
      </c>
      <c r="K3">
        <v>43</v>
      </c>
      <c r="L3" t="s">
        <v>16</v>
      </c>
      <c r="M3">
        <f t="shared" si="0"/>
        <v>0</v>
      </c>
      <c r="N3">
        <f t="shared" si="1"/>
        <v>0</v>
      </c>
      <c r="O3">
        <f t="shared" si="2"/>
        <v>0</v>
      </c>
    </row>
    <row r="4" spans="1:15" x14ac:dyDescent="0.2">
      <c r="A4" t="s">
        <v>12</v>
      </c>
      <c r="B4">
        <v>60565</v>
      </c>
      <c r="C4" t="s">
        <v>13</v>
      </c>
      <c r="D4" t="s">
        <v>14</v>
      </c>
      <c r="E4" s="3">
        <v>44655</v>
      </c>
      <c r="F4" t="s">
        <v>15</v>
      </c>
      <c r="G4" s="1"/>
      <c r="H4" t="s">
        <v>15</v>
      </c>
      <c r="I4" s="2">
        <v>44593</v>
      </c>
      <c r="J4">
        <v>756.61</v>
      </c>
      <c r="K4">
        <v>26.4</v>
      </c>
      <c r="L4" t="s">
        <v>19</v>
      </c>
      <c r="M4">
        <f t="shared" si="0"/>
        <v>0</v>
      </c>
      <c r="N4">
        <f t="shared" si="1"/>
        <v>0</v>
      </c>
      <c r="O4">
        <f t="shared" si="2"/>
        <v>0</v>
      </c>
    </row>
    <row r="5" spans="1:15" x14ac:dyDescent="0.2">
      <c r="A5" t="s">
        <v>17</v>
      </c>
      <c r="B5">
        <v>60565</v>
      </c>
      <c r="C5" t="s">
        <v>13</v>
      </c>
      <c r="D5" t="s">
        <v>18</v>
      </c>
      <c r="E5" s="3">
        <v>44780</v>
      </c>
      <c r="F5" t="s">
        <v>15</v>
      </c>
      <c r="G5" s="1"/>
      <c r="H5" t="s">
        <v>15</v>
      </c>
      <c r="I5" s="2">
        <v>44593</v>
      </c>
      <c r="J5">
        <v>984.09</v>
      </c>
      <c r="K5">
        <v>26.4</v>
      </c>
      <c r="L5" t="s">
        <v>19</v>
      </c>
      <c r="M5">
        <f t="shared" si="0"/>
        <v>0</v>
      </c>
      <c r="N5">
        <f t="shared" si="1"/>
        <v>0</v>
      </c>
      <c r="O5">
        <f t="shared" si="2"/>
        <v>0</v>
      </c>
    </row>
    <row r="6" spans="1:15" x14ac:dyDescent="0.2">
      <c r="A6" t="s">
        <v>12</v>
      </c>
      <c r="B6">
        <v>60565</v>
      </c>
      <c r="C6" t="s">
        <v>13</v>
      </c>
      <c r="D6" t="s">
        <v>14</v>
      </c>
      <c r="E6" s="3">
        <v>44655</v>
      </c>
      <c r="F6" t="s">
        <v>15</v>
      </c>
      <c r="G6" s="1"/>
      <c r="H6" t="s">
        <v>15</v>
      </c>
      <c r="I6" s="2">
        <v>44621</v>
      </c>
      <c r="J6">
        <v>726.73</v>
      </c>
      <c r="K6">
        <v>29.5</v>
      </c>
      <c r="L6" t="s">
        <v>19</v>
      </c>
      <c r="M6">
        <f t="shared" si="0"/>
        <v>0</v>
      </c>
      <c r="N6">
        <f t="shared" si="1"/>
        <v>0</v>
      </c>
      <c r="O6">
        <f t="shared" si="2"/>
        <v>0</v>
      </c>
    </row>
    <row r="7" spans="1:15" x14ac:dyDescent="0.2">
      <c r="A7" t="s">
        <v>17</v>
      </c>
      <c r="B7">
        <v>60565</v>
      </c>
      <c r="C7" t="s">
        <v>13</v>
      </c>
      <c r="D7" t="s">
        <v>18</v>
      </c>
      <c r="E7" s="3">
        <v>44780</v>
      </c>
      <c r="F7" t="s">
        <v>15</v>
      </c>
      <c r="G7" s="1"/>
      <c r="H7" t="s">
        <v>15</v>
      </c>
      <c r="I7" s="2">
        <v>44621</v>
      </c>
      <c r="J7">
        <v>759.37</v>
      </c>
      <c r="K7">
        <v>29.5</v>
      </c>
      <c r="L7" t="s">
        <v>19</v>
      </c>
      <c r="M7">
        <f t="shared" si="0"/>
        <v>0</v>
      </c>
      <c r="N7">
        <f t="shared" si="1"/>
        <v>0</v>
      </c>
      <c r="O7">
        <f t="shared" si="2"/>
        <v>0</v>
      </c>
    </row>
    <row r="8" spans="1:15" x14ac:dyDescent="0.2">
      <c r="A8" t="s">
        <v>12</v>
      </c>
      <c r="B8">
        <v>60565</v>
      </c>
      <c r="C8" t="s">
        <v>13</v>
      </c>
      <c r="D8" t="s">
        <v>14</v>
      </c>
      <c r="E8" s="3">
        <v>44655</v>
      </c>
      <c r="F8" t="s">
        <v>15</v>
      </c>
      <c r="G8" s="1"/>
      <c r="H8" t="s">
        <v>15</v>
      </c>
      <c r="I8" s="2">
        <v>44652</v>
      </c>
      <c r="J8">
        <v>742.17</v>
      </c>
      <c r="K8">
        <v>50.8</v>
      </c>
      <c r="L8" t="s">
        <v>16</v>
      </c>
      <c r="M8">
        <f t="shared" si="0"/>
        <v>0</v>
      </c>
      <c r="N8">
        <f t="shared" si="1"/>
        <v>0</v>
      </c>
      <c r="O8">
        <f t="shared" si="2"/>
        <v>0</v>
      </c>
    </row>
    <row r="9" spans="1:15" x14ac:dyDescent="0.2">
      <c r="A9" t="s">
        <v>17</v>
      </c>
      <c r="B9">
        <v>60565</v>
      </c>
      <c r="C9" t="s">
        <v>13</v>
      </c>
      <c r="D9" t="s">
        <v>18</v>
      </c>
      <c r="E9" s="3">
        <v>44780</v>
      </c>
      <c r="F9" t="s">
        <v>15</v>
      </c>
      <c r="G9" s="1"/>
      <c r="H9" t="s">
        <v>15</v>
      </c>
      <c r="I9" s="2">
        <v>44652</v>
      </c>
      <c r="J9">
        <v>826.05</v>
      </c>
      <c r="K9">
        <v>50.8</v>
      </c>
      <c r="L9" t="s">
        <v>16</v>
      </c>
      <c r="M9">
        <f t="shared" si="0"/>
        <v>0</v>
      </c>
      <c r="N9">
        <f t="shared" si="1"/>
        <v>0</v>
      </c>
      <c r="O9">
        <f t="shared" si="2"/>
        <v>0</v>
      </c>
    </row>
    <row r="10" spans="1:15" x14ac:dyDescent="0.2">
      <c r="A10" t="s">
        <v>12</v>
      </c>
      <c r="B10">
        <v>60565</v>
      </c>
      <c r="C10" t="s">
        <v>13</v>
      </c>
      <c r="D10" t="s">
        <v>14</v>
      </c>
      <c r="E10" s="3">
        <v>44655</v>
      </c>
      <c r="F10" t="s">
        <v>15</v>
      </c>
      <c r="G10" s="1"/>
      <c r="H10" t="s">
        <v>15</v>
      </c>
      <c r="I10" s="2">
        <v>44682</v>
      </c>
      <c r="J10">
        <v>786.43</v>
      </c>
      <c r="K10">
        <v>46.3</v>
      </c>
      <c r="L10" t="s">
        <v>16</v>
      </c>
      <c r="M10">
        <f t="shared" si="0"/>
        <v>0</v>
      </c>
      <c r="N10">
        <f t="shared" si="1"/>
        <v>0</v>
      </c>
      <c r="O10">
        <f t="shared" si="2"/>
        <v>0</v>
      </c>
    </row>
    <row r="11" spans="1:15" x14ac:dyDescent="0.2">
      <c r="A11" t="s">
        <v>17</v>
      </c>
      <c r="B11">
        <v>60565</v>
      </c>
      <c r="C11" t="s">
        <v>13</v>
      </c>
      <c r="D11" t="s">
        <v>18</v>
      </c>
      <c r="E11" s="3">
        <v>44780</v>
      </c>
      <c r="F11" t="s">
        <v>15</v>
      </c>
      <c r="G11" s="1"/>
      <c r="H11" t="s">
        <v>15</v>
      </c>
      <c r="I11" s="2">
        <v>44682</v>
      </c>
      <c r="J11">
        <v>575.52</v>
      </c>
      <c r="K11">
        <v>46.3</v>
      </c>
      <c r="L11" t="s">
        <v>16</v>
      </c>
      <c r="M11">
        <f t="shared" si="0"/>
        <v>0</v>
      </c>
      <c r="N11">
        <f t="shared" si="1"/>
        <v>0</v>
      </c>
      <c r="O11">
        <f t="shared" si="2"/>
        <v>0</v>
      </c>
    </row>
    <row r="12" spans="1:15" x14ac:dyDescent="0.2">
      <c r="A12" t="s">
        <v>12</v>
      </c>
      <c r="B12">
        <v>60565</v>
      </c>
      <c r="C12" t="s">
        <v>13</v>
      </c>
      <c r="D12" t="s">
        <v>14</v>
      </c>
      <c r="E12" s="3">
        <v>44655</v>
      </c>
      <c r="F12" t="s">
        <v>15</v>
      </c>
      <c r="G12" s="1"/>
      <c r="H12" t="s">
        <v>15</v>
      </c>
      <c r="I12" s="2">
        <v>44713</v>
      </c>
      <c r="J12">
        <v>720.65</v>
      </c>
      <c r="K12">
        <v>61.1</v>
      </c>
      <c r="L12" t="s">
        <v>16</v>
      </c>
      <c r="M12">
        <f t="shared" si="0"/>
        <v>0</v>
      </c>
      <c r="N12">
        <f t="shared" si="1"/>
        <v>0</v>
      </c>
      <c r="O12">
        <f t="shared" si="2"/>
        <v>0</v>
      </c>
    </row>
    <row r="13" spans="1:15" x14ac:dyDescent="0.2">
      <c r="A13" t="s">
        <v>17</v>
      </c>
      <c r="B13">
        <v>60565</v>
      </c>
      <c r="C13" t="s">
        <v>13</v>
      </c>
      <c r="D13" t="s">
        <v>18</v>
      </c>
      <c r="E13" s="3">
        <v>44780</v>
      </c>
      <c r="F13" t="s">
        <v>15</v>
      </c>
      <c r="G13" s="1"/>
      <c r="H13" t="s">
        <v>15</v>
      </c>
      <c r="I13" s="2">
        <v>44713</v>
      </c>
      <c r="J13">
        <v>867.58</v>
      </c>
      <c r="K13">
        <v>61.1</v>
      </c>
      <c r="L13" t="s">
        <v>16</v>
      </c>
      <c r="M13">
        <f t="shared" si="0"/>
        <v>0</v>
      </c>
      <c r="N13">
        <f t="shared" si="1"/>
        <v>0</v>
      </c>
      <c r="O13">
        <f t="shared" si="2"/>
        <v>0</v>
      </c>
    </row>
    <row r="14" spans="1:15" x14ac:dyDescent="0.2">
      <c r="A14" t="s">
        <v>12</v>
      </c>
      <c r="B14">
        <v>60565</v>
      </c>
      <c r="C14" t="s">
        <v>13</v>
      </c>
      <c r="D14" t="s">
        <v>14</v>
      </c>
      <c r="E14" s="3">
        <v>44655</v>
      </c>
      <c r="F14" t="s">
        <v>15</v>
      </c>
      <c r="G14" s="1"/>
      <c r="H14" t="s">
        <v>15</v>
      </c>
      <c r="I14" s="2">
        <v>44743</v>
      </c>
      <c r="J14">
        <v>763.16</v>
      </c>
      <c r="K14">
        <v>27.4</v>
      </c>
      <c r="L14" t="s">
        <v>19</v>
      </c>
      <c r="M14">
        <f t="shared" si="0"/>
        <v>0</v>
      </c>
      <c r="N14">
        <f t="shared" si="1"/>
        <v>0</v>
      </c>
      <c r="O14">
        <f t="shared" si="2"/>
        <v>0</v>
      </c>
    </row>
    <row r="15" spans="1:15" x14ac:dyDescent="0.2">
      <c r="A15" t="s">
        <v>17</v>
      </c>
      <c r="B15">
        <v>60565</v>
      </c>
      <c r="C15" t="s">
        <v>13</v>
      </c>
      <c r="D15" t="s">
        <v>18</v>
      </c>
      <c r="E15" s="3">
        <v>44780</v>
      </c>
      <c r="F15" t="s">
        <v>15</v>
      </c>
      <c r="G15" s="1"/>
      <c r="H15" t="s">
        <v>15</v>
      </c>
      <c r="I15" s="2">
        <v>44743</v>
      </c>
      <c r="J15">
        <v>1025.72</v>
      </c>
      <c r="K15">
        <v>27.4</v>
      </c>
      <c r="L15" t="s">
        <v>19</v>
      </c>
      <c r="M15">
        <f t="shared" si="0"/>
        <v>0</v>
      </c>
      <c r="N15">
        <f t="shared" si="1"/>
        <v>0</v>
      </c>
      <c r="O15">
        <f t="shared" si="2"/>
        <v>0</v>
      </c>
    </row>
    <row r="16" spans="1:15" x14ac:dyDescent="0.2">
      <c r="A16" t="s">
        <v>12</v>
      </c>
      <c r="B16">
        <v>60565</v>
      </c>
      <c r="C16" t="s">
        <v>13</v>
      </c>
      <c r="D16" t="s">
        <v>14</v>
      </c>
      <c r="E16" s="3">
        <v>44655</v>
      </c>
      <c r="F16" t="s">
        <v>15</v>
      </c>
      <c r="G16" s="1"/>
      <c r="H16" t="s">
        <v>15</v>
      </c>
      <c r="I16" s="2">
        <v>44774</v>
      </c>
      <c r="J16">
        <v>815.72</v>
      </c>
      <c r="K16">
        <v>54.2</v>
      </c>
      <c r="L16" t="s">
        <v>16</v>
      </c>
      <c r="M16">
        <f t="shared" si="0"/>
        <v>0</v>
      </c>
      <c r="N16">
        <f t="shared" si="1"/>
        <v>0</v>
      </c>
      <c r="O16">
        <f t="shared" si="2"/>
        <v>0</v>
      </c>
    </row>
    <row r="17" spans="1:15" x14ac:dyDescent="0.2">
      <c r="A17" t="s">
        <v>17</v>
      </c>
      <c r="B17">
        <v>60565</v>
      </c>
      <c r="C17" t="s">
        <v>13</v>
      </c>
      <c r="D17" t="s">
        <v>18</v>
      </c>
      <c r="E17" s="3">
        <v>44780</v>
      </c>
      <c r="F17" t="s">
        <v>15</v>
      </c>
      <c r="G17" s="1"/>
      <c r="H17" t="s">
        <v>15</v>
      </c>
      <c r="I17" s="2">
        <v>44774</v>
      </c>
      <c r="J17">
        <v>706.64</v>
      </c>
      <c r="K17">
        <v>54.2</v>
      </c>
      <c r="L17" t="s">
        <v>16</v>
      </c>
      <c r="M17">
        <f t="shared" si="0"/>
        <v>0</v>
      </c>
      <c r="N17">
        <f t="shared" si="1"/>
        <v>0</v>
      </c>
      <c r="O17">
        <f t="shared" si="2"/>
        <v>0</v>
      </c>
    </row>
    <row r="18" spans="1:15" x14ac:dyDescent="0.2">
      <c r="A18" t="s">
        <v>12</v>
      </c>
      <c r="B18">
        <v>60565</v>
      </c>
      <c r="C18" t="s">
        <v>13</v>
      </c>
      <c r="D18" t="s">
        <v>14</v>
      </c>
      <c r="E18" s="3">
        <v>44655</v>
      </c>
      <c r="F18" t="s">
        <v>15</v>
      </c>
      <c r="G18" s="1"/>
      <c r="H18" t="s">
        <v>15</v>
      </c>
      <c r="I18" s="2">
        <v>44805</v>
      </c>
      <c r="J18">
        <v>788.45</v>
      </c>
      <c r="K18">
        <v>41.9</v>
      </c>
      <c r="L18" t="s">
        <v>16</v>
      </c>
      <c r="M18">
        <f t="shared" si="0"/>
        <v>0</v>
      </c>
      <c r="N18">
        <f t="shared" si="1"/>
        <v>0</v>
      </c>
      <c r="O18">
        <f t="shared" si="2"/>
        <v>0</v>
      </c>
    </row>
    <row r="19" spans="1:15" x14ac:dyDescent="0.2">
      <c r="A19" t="s">
        <v>17</v>
      </c>
      <c r="B19">
        <v>60565</v>
      </c>
      <c r="C19" t="s">
        <v>13</v>
      </c>
      <c r="D19" t="s">
        <v>18</v>
      </c>
      <c r="E19" s="3">
        <v>44780</v>
      </c>
      <c r="F19" t="s">
        <v>15</v>
      </c>
      <c r="G19" s="1"/>
      <c r="H19" t="s">
        <v>15</v>
      </c>
      <c r="I19" s="2">
        <v>44805</v>
      </c>
      <c r="J19">
        <v>1117.44</v>
      </c>
      <c r="K19">
        <v>41.9</v>
      </c>
      <c r="L19" t="s">
        <v>16</v>
      </c>
      <c r="M19">
        <f t="shared" si="0"/>
        <v>0</v>
      </c>
      <c r="N19">
        <f t="shared" si="1"/>
        <v>0</v>
      </c>
      <c r="O19">
        <f t="shared" si="2"/>
        <v>0</v>
      </c>
    </row>
    <row r="20" spans="1:15" x14ac:dyDescent="0.2">
      <c r="A20" t="s">
        <v>12</v>
      </c>
      <c r="B20">
        <v>60565</v>
      </c>
      <c r="C20" t="s">
        <v>13</v>
      </c>
      <c r="D20" t="s">
        <v>14</v>
      </c>
      <c r="E20" s="3">
        <v>44655</v>
      </c>
      <c r="F20" t="s">
        <v>15</v>
      </c>
      <c r="G20" s="1"/>
      <c r="H20" t="s">
        <v>15</v>
      </c>
      <c r="I20" s="2">
        <v>44835</v>
      </c>
      <c r="J20">
        <v>883.17</v>
      </c>
      <c r="K20">
        <v>74.099999999999994</v>
      </c>
      <c r="L20" t="s">
        <v>20</v>
      </c>
      <c r="M20">
        <f t="shared" si="0"/>
        <v>0</v>
      </c>
      <c r="N20">
        <f t="shared" si="1"/>
        <v>0</v>
      </c>
      <c r="O20">
        <f t="shared" si="2"/>
        <v>0</v>
      </c>
    </row>
    <row r="21" spans="1:15" x14ac:dyDescent="0.2">
      <c r="A21" t="s">
        <v>17</v>
      </c>
      <c r="B21">
        <v>60565</v>
      </c>
      <c r="C21" t="s">
        <v>13</v>
      </c>
      <c r="D21" t="s">
        <v>18</v>
      </c>
      <c r="E21" s="3">
        <v>44780</v>
      </c>
      <c r="F21" t="s">
        <v>15</v>
      </c>
      <c r="G21" s="1"/>
      <c r="H21" t="s">
        <v>15</v>
      </c>
      <c r="I21" s="2">
        <v>44835</v>
      </c>
      <c r="J21">
        <v>818.22</v>
      </c>
      <c r="K21">
        <v>74.099999999999994</v>
      </c>
      <c r="L21" t="s">
        <v>20</v>
      </c>
      <c r="M21">
        <f t="shared" si="0"/>
        <v>0</v>
      </c>
      <c r="N21">
        <f t="shared" si="1"/>
        <v>0</v>
      </c>
      <c r="O21">
        <f t="shared" si="2"/>
        <v>0</v>
      </c>
    </row>
    <row r="22" spans="1:15" x14ac:dyDescent="0.2">
      <c r="A22" t="s">
        <v>12</v>
      </c>
      <c r="B22">
        <v>60565</v>
      </c>
      <c r="C22" t="s">
        <v>13</v>
      </c>
      <c r="D22" t="s">
        <v>14</v>
      </c>
      <c r="E22" s="3">
        <v>44655</v>
      </c>
      <c r="F22" t="s">
        <v>15</v>
      </c>
      <c r="G22" s="1"/>
      <c r="H22" t="s">
        <v>15</v>
      </c>
      <c r="I22" s="2">
        <v>44866</v>
      </c>
      <c r="J22">
        <v>768.06</v>
      </c>
      <c r="K22">
        <v>42.6</v>
      </c>
      <c r="L22" t="s">
        <v>16</v>
      </c>
      <c r="M22">
        <f t="shared" si="0"/>
        <v>0</v>
      </c>
      <c r="N22">
        <f t="shared" si="1"/>
        <v>0</v>
      </c>
      <c r="O22">
        <f t="shared" si="2"/>
        <v>0</v>
      </c>
    </row>
    <row r="23" spans="1:15" x14ac:dyDescent="0.2">
      <c r="A23" t="s">
        <v>17</v>
      </c>
      <c r="B23">
        <v>60565</v>
      </c>
      <c r="C23" t="s">
        <v>13</v>
      </c>
      <c r="D23" t="s">
        <v>18</v>
      </c>
      <c r="E23" s="3">
        <v>44780</v>
      </c>
      <c r="F23" t="s">
        <v>15</v>
      </c>
      <c r="G23" s="1"/>
      <c r="H23" t="s">
        <v>15</v>
      </c>
      <c r="I23" s="2">
        <v>44866</v>
      </c>
      <c r="J23">
        <v>542.71</v>
      </c>
      <c r="K23">
        <v>42.6</v>
      </c>
      <c r="L23" t="s">
        <v>16</v>
      </c>
      <c r="M23">
        <f t="shared" si="0"/>
        <v>0</v>
      </c>
      <c r="N23">
        <f t="shared" si="1"/>
        <v>0</v>
      </c>
      <c r="O23">
        <f t="shared" si="2"/>
        <v>0</v>
      </c>
    </row>
    <row r="24" spans="1:15" x14ac:dyDescent="0.2">
      <c r="A24" t="s">
        <v>12</v>
      </c>
      <c r="B24">
        <v>60565</v>
      </c>
      <c r="C24" t="s">
        <v>13</v>
      </c>
      <c r="D24" t="s">
        <v>14</v>
      </c>
      <c r="E24" s="3">
        <v>44655</v>
      </c>
      <c r="F24" t="s">
        <v>15</v>
      </c>
      <c r="G24" s="1"/>
      <c r="H24" t="s">
        <v>15</v>
      </c>
      <c r="I24" s="2">
        <v>44896</v>
      </c>
      <c r="J24">
        <v>779.54</v>
      </c>
      <c r="K24">
        <v>52.3</v>
      </c>
      <c r="L24" t="s">
        <v>16</v>
      </c>
      <c r="M24">
        <f t="shared" si="0"/>
        <v>0</v>
      </c>
      <c r="N24">
        <f t="shared" si="1"/>
        <v>0</v>
      </c>
      <c r="O24">
        <f t="shared" si="2"/>
        <v>0</v>
      </c>
    </row>
    <row r="25" spans="1:15" x14ac:dyDescent="0.2">
      <c r="A25" t="s">
        <v>17</v>
      </c>
      <c r="B25">
        <v>60565</v>
      </c>
      <c r="C25" t="s">
        <v>13</v>
      </c>
      <c r="D25" t="s">
        <v>18</v>
      </c>
      <c r="E25" s="3">
        <v>44780</v>
      </c>
      <c r="F25" t="s">
        <v>15</v>
      </c>
      <c r="G25" s="1"/>
      <c r="H25" t="s">
        <v>15</v>
      </c>
      <c r="I25" s="2">
        <v>44896</v>
      </c>
      <c r="J25">
        <v>761.45</v>
      </c>
      <c r="K25">
        <v>52.3</v>
      </c>
      <c r="L25" t="s">
        <v>16</v>
      </c>
      <c r="M25">
        <f t="shared" si="0"/>
        <v>0</v>
      </c>
      <c r="N25">
        <f t="shared" si="1"/>
        <v>0</v>
      </c>
      <c r="O25">
        <f t="shared" si="2"/>
        <v>0</v>
      </c>
    </row>
    <row r="26" spans="1:15" x14ac:dyDescent="0.2">
      <c r="A26" t="s">
        <v>12</v>
      </c>
      <c r="B26">
        <v>60565</v>
      </c>
      <c r="C26" t="s">
        <v>13</v>
      </c>
      <c r="D26" t="s">
        <v>14</v>
      </c>
      <c r="E26" s="3">
        <v>44655</v>
      </c>
      <c r="F26" t="s">
        <v>15</v>
      </c>
      <c r="G26" s="1"/>
      <c r="H26" t="s">
        <v>15</v>
      </c>
      <c r="I26" s="2">
        <v>44927</v>
      </c>
      <c r="J26">
        <v>727.11</v>
      </c>
      <c r="K26">
        <v>76.2</v>
      </c>
      <c r="L26" t="s">
        <v>20</v>
      </c>
      <c r="M26">
        <f t="shared" si="0"/>
        <v>0</v>
      </c>
      <c r="N26">
        <f t="shared" si="1"/>
        <v>0</v>
      </c>
      <c r="O26">
        <f t="shared" si="2"/>
        <v>0</v>
      </c>
    </row>
    <row r="27" spans="1:15" x14ac:dyDescent="0.2">
      <c r="A27" t="s">
        <v>17</v>
      </c>
      <c r="B27">
        <v>60565</v>
      </c>
      <c r="C27" t="s">
        <v>13</v>
      </c>
      <c r="D27" t="s">
        <v>18</v>
      </c>
      <c r="E27" s="3">
        <v>44780</v>
      </c>
      <c r="F27" t="s">
        <v>15</v>
      </c>
      <c r="G27" s="1"/>
      <c r="H27" t="s">
        <v>15</v>
      </c>
      <c r="I27" s="2">
        <v>44927</v>
      </c>
      <c r="J27">
        <v>833.04</v>
      </c>
      <c r="K27">
        <v>76.2</v>
      </c>
      <c r="L27" t="s">
        <v>20</v>
      </c>
      <c r="M27">
        <f t="shared" si="0"/>
        <v>0</v>
      </c>
      <c r="N27">
        <f t="shared" si="1"/>
        <v>0</v>
      </c>
      <c r="O27">
        <f t="shared" si="2"/>
        <v>0</v>
      </c>
    </row>
    <row r="28" spans="1:15" x14ac:dyDescent="0.2">
      <c r="A28" t="s">
        <v>12</v>
      </c>
      <c r="B28">
        <v>60565</v>
      </c>
      <c r="C28" t="s">
        <v>13</v>
      </c>
      <c r="D28" t="s">
        <v>14</v>
      </c>
      <c r="E28" s="3">
        <v>44655</v>
      </c>
      <c r="F28" t="s">
        <v>15</v>
      </c>
      <c r="G28" s="1"/>
      <c r="H28" t="s">
        <v>15</v>
      </c>
      <c r="I28" s="2">
        <v>44958</v>
      </c>
      <c r="J28">
        <v>924.48</v>
      </c>
      <c r="K28">
        <v>73.7</v>
      </c>
      <c r="L28" t="s">
        <v>20</v>
      </c>
      <c r="M28">
        <f t="shared" si="0"/>
        <v>0</v>
      </c>
      <c r="N28">
        <f t="shared" si="1"/>
        <v>0</v>
      </c>
      <c r="O28">
        <f t="shared" si="2"/>
        <v>0</v>
      </c>
    </row>
    <row r="29" spans="1:15" x14ac:dyDescent="0.2">
      <c r="A29" t="s">
        <v>17</v>
      </c>
      <c r="B29">
        <v>60565</v>
      </c>
      <c r="C29" t="s">
        <v>13</v>
      </c>
      <c r="D29" t="s">
        <v>18</v>
      </c>
      <c r="E29" s="3">
        <v>44780</v>
      </c>
      <c r="F29" t="s">
        <v>15</v>
      </c>
      <c r="G29" s="1"/>
      <c r="H29" t="s">
        <v>15</v>
      </c>
      <c r="I29" s="2">
        <v>44958</v>
      </c>
      <c r="J29">
        <v>899.93</v>
      </c>
      <c r="K29">
        <v>73.7</v>
      </c>
      <c r="L29" t="s">
        <v>20</v>
      </c>
      <c r="M29">
        <f t="shared" si="0"/>
        <v>0</v>
      </c>
      <c r="N29">
        <f t="shared" si="1"/>
        <v>0</v>
      </c>
      <c r="O29">
        <f t="shared" si="2"/>
        <v>0</v>
      </c>
    </row>
    <row r="30" spans="1:15" x14ac:dyDescent="0.2">
      <c r="A30" t="s">
        <v>12</v>
      </c>
      <c r="B30">
        <v>60565</v>
      </c>
      <c r="C30" t="s">
        <v>13</v>
      </c>
      <c r="D30" t="s">
        <v>14</v>
      </c>
      <c r="E30" s="3">
        <v>44655</v>
      </c>
      <c r="F30" t="s">
        <v>15</v>
      </c>
      <c r="G30" s="1"/>
      <c r="H30" t="s">
        <v>15</v>
      </c>
      <c r="I30" s="2">
        <v>44986</v>
      </c>
      <c r="J30">
        <v>621.24</v>
      </c>
      <c r="K30">
        <v>52.8</v>
      </c>
      <c r="L30" t="s">
        <v>16</v>
      </c>
      <c r="M30">
        <f t="shared" si="0"/>
        <v>0</v>
      </c>
      <c r="N30">
        <f t="shared" si="1"/>
        <v>0</v>
      </c>
      <c r="O30">
        <f t="shared" si="2"/>
        <v>0</v>
      </c>
    </row>
    <row r="31" spans="1:15" x14ac:dyDescent="0.2">
      <c r="A31" t="s">
        <v>17</v>
      </c>
      <c r="B31">
        <v>60565</v>
      </c>
      <c r="C31" t="s">
        <v>13</v>
      </c>
      <c r="D31" t="s">
        <v>18</v>
      </c>
      <c r="E31" s="3">
        <v>44780</v>
      </c>
      <c r="F31" t="s">
        <v>15</v>
      </c>
      <c r="G31" s="1"/>
      <c r="H31" t="s">
        <v>15</v>
      </c>
      <c r="I31" s="2">
        <v>44986</v>
      </c>
      <c r="J31">
        <v>771.81</v>
      </c>
      <c r="K31">
        <v>52.8</v>
      </c>
      <c r="L31" t="s">
        <v>16</v>
      </c>
      <c r="M31">
        <f t="shared" si="0"/>
        <v>0</v>
      </c>
      <c r="N31">
        <f t="shared" si="1"/>
        <v>0</v>
      </c>
      <c r="O31">
        <f t="shared" si="2"/>
        <v>0</v>
      </c>
    </row>
    <row r="32" spans="1:15" x14ac:dyDescent="0.2">
      <c r="A32" t="s">
        <v>12</v>
      </c>
      <c r="B32">
        <v>60565</v>
      </c>
      <c r="C32" t="s">
        <v>13</v>
      </c>
      <c r="D32" t="s">
        <v>14</v>
      </c>
      <c r="E32" s="3">
        <v>44655</v>
      </c>
      <c r="F32" t="s">
        <v>15</v>
      </c>
      <c r="G32" s="1"/>
      <c r="H32" t="s">
        <v>15</v>
      </c>
      <c r="I32" s="2">
        <v>45017</v>
      </c>
      <c r="J32">
        <v>892.36</v>
      </c>
      <c r="K32">
        <v>103.1</v>
      </c>
      <c r="L32" t="s">
        <v>20</v>
      </c>
      <c r="M32">
        <f t="shared" si="0"/>
        <v>0</v>
      </c>
      <c r="N32">
        <f t="shared" si="1"/>
        <v>0</v>
      </c>
      <c r="O32">
        <f t="shared" si="2"/>
        <v>0</v>
      </c>
    </row>
    <row r="33" spans="1:15" x14ac:dyDescent="0.2">
      <c r="A33" t="s">
        <v>17</v>
      </c>
      <c r="B33">
        <v>60565</v>
      </c>
      <c r="C33" t="s">
        <v>13</v>
      </c>
      <c r="D33" t="s">
        <v>18</v>
      </c>
      <c r="E33" s="3">
        <v>44780</v>
      </c>
      <c r="F33" t="s">
        <v>15</v>
      </c>
      <c r="G33" s="1"/>
      <c r="H33" t="s">
        <v>15</v>
      </c>
      <c r="I33" s="2">
        <v>45017</v>
      </c>
      <c r="J33">
        <v>856.76</v>
      </c>
      <c r="K33">
        <v>103.1</v>
      </c>
      <c r="L33" t="s">
        <v>20</v>
      </c>
      <c r="M33">
        <f t="shared" si="0"/>
        <v>0</v>
      </c>
      <c r="N33">
        <f t="shared" si="1"/>
        <v>0</v>
      </c>
      <c r="O33">
        <f t="shared" si="2"/>
        <v>0</v>
      </c>
    </row>
    <row r="34" spans="1:15" x14ac:dyDescent="0.2">
      <c r="A34" t="s">
        <v>12</v>
      </c>
      <c r="B34">
        <v>60565</v>
      </c>
      <c r="C34" t="s">
        <v>13</v>
      </c>
      <c r="D34" t="s">
        <v>14</v>
      </c>
      <c r="E34" s="3">
        <v>44655</v>
      </c>
      <c r="F34" t="s">
        <v>15</v>
      </c>
      <c r="G34" s="1"/>
      <c r="H34" t="s">
        <v>15</v>
      </c>
      <c r="I34" s="2">
        <v>45047</v>
      </c>
      <c r="J34">
        <v>581.64</v>
      </c>
      <c r="K34">
        <v>40.6</v>
      </c>
      <c r="L34" t="s">
        <v>16</v>
      </c>
      <c r="M34">
        <f t="shared" si="0"/>
        <v>0</v>
      </c>
      <c r="N34">
        <f t="shared" si="1"/>
        <v>0</v>
      </c>
      <c r="O34">
        <f t="shared" si="2"/>
        <v>0</v>
      </c>
    </row>
    <row r="35" spans="1:15" x14ac:dyDescent="0.2">
      <c r="A35" t="s">
        <v>17</v>
      </c>
      <c r="B35">
        <v>60565</v>
      </c>
      <c r="C35" t="s">
        <v>13</v>
      </c>
      <c r="D35" t="s">
        <v>18</v>
      </c>
      <c r="E35" s="3">
        <v>44780</v>
      </c>
      <c r="F35" t="s">
        <v>15</v>
      </c>
      <c r="G35" s="1"/>
      <c r="H35" t="s">
        <v>15</v>
      </c>
      <c r="I35" s="2">
        <v>45047</v>
      </c>
      <c r="J35">
        <v>582.22</v>
      </c>
      <c r="K35">
        <v>40.6</v>
      </c>
      <c r="L35" t="s">
        <v>16</v>
      </c>
      <c r="M35">
        <f t="shared" si="0"/>
        <v>0</v>
      </c>
      <c r="N35">
        <f t="shared" si="1"/>
        <v>0</v>
      </c>
      <c r="O35">
        <f t="shared" si="2"/>
        <v>0</v>
      </c>
    </row>
    <row r="36" spans="1:15" x14ac:dyDescent="0.2">
      <c r="A36" t="s">
        <v>12</v>
      </c>
      <c r="B36">
        <v>60565</v>
      </c>
      <c r="C36" t="s">
        <v>13</v>
      </c>
      <c r="D36" t="s">
        <v>14</v>
      </c>
      <c r="E36" s="3">
        <v>44655</v>
      </c>
      <c r="F36" t="s">
        <v>15</v>
      </c>
      <c r="G36" s="1"/>
      <c r="H36" t="s">
        <v>15</v>
      </c>
      <c r="I36" s="2">
        <v>45078</v>
      </c>
      <c r="J36">
        <v>722.9</v>
      </c>
      <c r="K36">
        <v>76</v>
      </c>
      <c r="L36" t="s">
        <v>20</v>
      </c>
      <c r="M36">
        <f t="shared" si="0"/>
        <v>0</v>
      </c>
      <c r="N36">
        <f t="shared" si="1"/>
        <v>0</v>
      </c>
      <c r="O36">
        <f t="shared" si="2"/>
        <v>0</v>
      </c>
    </row>
    <row r="37" spans="1:15" x14ac:dyDescent="0.2">
      <c r="A37" t="s">
        <v>17</v>
      </c>
      <c r="B37">
        <v>60565</v>
      </c>
      <c r="C37" t="s">
        <v>13</v>
      </c>
      <c r="D37" t="s">
        <v>18</v>
      </c>
      <c r="E37" s="3">
        <v>44780</v>
      </c>
      <c r="F37" t="s">
        <v>15</v>
      </c>
      <c r="G37" s="1"/>
      <c r="H37" t="s">
        <v>15</v>
      </c>
      <c r="I37" s="2">
        <v>45078</v>
      </c>
      <c r="J37">
        <v>631.97</v>
      </c>
      <c r="K37">
        <v>76</v>
      </c>
      <c r="L37" t="s">
        <v>20</v>
      </c>
      <c r="M37">
        <f t="shared" si="0"/>
        <v>0</v>
      </c>
      <c r="N37">
        <f t="shared" si="1"/>
        <v>0</v>
      </c>
      <c r="O37">
        <f t="shared" si="2"/>
        <v>0</v>
      </c>
    </row>
    <row r="38" spans="1:15" x14ac:dyDescent="0.2">
      <c r="A38" t="s">
        <v>12</v>
      </c>
      <c r="B38">
        <v>60565</v>
      </c>
      <c r="C38" t="s">
        <v>13</v>
      </c>
      <c r="D38" t="s">
        <v>14</v>
      </c>
      <c r="E38" s="3">
        <v>44655</v>
      </c>
      <c r="F38" t="s">
        <v>15</v>
      </c>
      <c r="G38" s="1"/>
      <c r="H38" t="s">
        <v>15</v>
      </c>
      <c r="I38" s="2">
        <v>45108</v>
      </c>
      <c r="J38">
        <v>666.06</v>
      </c>
      <c r="K38">
        <v>38.9</v>
      </c>
      <c r="L38" t="s">
        <v>19</v>
      </c>
      <c r="M38">
        <f t="shared" si="0"/>
        <v>0</v>
      </c>
      <c r="N38">
        <f t="shared" si="1"/>
        <v>0</v>
      </c>
      <c r="O38">
        <f t="shared" si="2"/>
        <v>0</v>
      </c>
    </row>
    <row r="39" spans="1:15" x14ac:dyDescent="0.2">
      <c r="A39" t="s">
        <v>17</v>
      </c>
      <c r="B39">
        <v>60565</v>
      </c>
      <c r="C39" t="s">
        <v>13</v>
      </c>
      <c r="D39" t="s">
        <v>18</v>
      </c>
      <c r="E39" s="3">
        <v>44780</v>
      </c>
      <c r="F39" t="s">
        <v>15</v>
      </c>
      <c r="G39" s="1"/>
      <c r="H39" t="s">
        <v>15</v>
      </c>
      <c r="I39" s="2">
        <v>45108</v>
      </c>
      <c r="J39">
        <v>532.04999999999995</v>
      </c>
      <c r="K39">
        <v>38.9</v>
      </c>
      <c r="L39" t="s">
        <v>19</v>
      </c>
      <c r="M39">
        <f t="shared" si="0"/>
        <v>0</v>
      </c>
      <c r="N39">
        <f t="shared" si="1"/>
        <v>0</v>
      </c>
      <c r="O39">
        <f t="shared" si="2"/>
        <v>0</v>
      </c>
    </row>
    <row r="40" spans="1:15" x14ac:dyDescent="0.2">
      <c r="A40" t="s">
        <v>12</v>
      </c>
      <c r="B40">
        <v>60565</v>
      </c>
      <c r="C40" t="s">
        <v>13</v>
      </c>
      <c r="D40" t="s">
        <v>14</v>
      </c>
      <c r="E40" s="3">
        <v>44655</v>
      </c>
      <c r="F40" t="s">
        <v>15</v>
      </c>
      <c r="G40" s="1"/>
      <c r="H40" t="s">
        <v>15</v>
      </c>
      <c r="I40" s="2">
        <v>45139</v>
      </c>
      <c r="J40">
        <v>618.47</v>
      </c>
      <c r="K40">
        <v>80</v>
      </c>
      <c r="L40" t="s">
        <v>20</v>
      </c>
      <c r="M40">
        <f t="shared" si="0"/>
        <v>0</v>
      </c>
      <c r="N40">
        <f t="shared" si="1"/>
        <v>0</v>
      </c>
      <c r="O40">
        <f t="shared" si="2"/>
        <v>0</v>
      </c>
    </row>
    <row r="41" spans="1:15" x14ac:dyDescent="0.2">
      <c r="A41" t="s">
        <v>17</v>
      </c>
      <c r="B41">
        <v>60565</v>
      </c>
      <c r="C41" t="s">
        <v>13</v>
      </c>
      <c r="D41" t="s">
        <v>18</v>
      </c>
      <c r="E41" s="3">
        <v>44780</v>
      </c>
      <c r="F41" t="s">
        <v>15</v>
      </c>
      <c r="G41" s="1"/>
      <c r="H41" t="s">
        <v>15</v>
      </c>
      <c r="I41" s="2">
        <v>45139</v>
      </c>
      <c r="J41">
        <v>639.49</v>
      </c>
      <c r="K41">
        <v>80</v>
      </c>
      <c r="L41" t="s">
        <v>20</v>
      </c>
      <c r="M41">
        <f t="shared" si="0"/>
        <v>0</v>
      </c>
      <c r="N41">
        <f t="shared" si="1"/>
        <v>0</v>
      </c>
      <c r="O41">
        <f t="shared" si="2"/>
        <v>0</v>
      </c>
    </row>
    <row r="42" spans="1:15" x14ac:dyDescent="0.2">
      <c r="A42" t="s">
        <v>12</v>
      </c>
      <c r="B42">
        <v>60565</v>
      </c>
      <c r="C42" t="s">
        <v>13</v>
      </c>
      <c r="D42" t="s">
        <v>14</v>
      </c>
      <c r="E42" s="3">
        <v>44655</v>
      </c>
      <c r="F42" t="s">
        <v>15</v>
      </c>
      <c r="G42" s="1"/>
      <c r="H42" t="s">
        <v>15</v>
      </c>
      <c r="I42" s="2">
        <v>45170</v>
      </c>
      <c r="J42">
        <v>769.91</v>
      </c>
      <c r="K42">
        <v>84.9</v>
      </c>
      <c r="L42" t="s">
        <v>20</v>
      </c>
      <c r="M42">
        <f t="shared" si="0"/>
        <v>0</v>
      </c>
      <c r="N42">
        <f t="shared" si="1"/>
        <v>0</v>
      </c>
      <c r="O42">
        <f t="shared" si="2"/>
        <v>0</v>
      </c>
    </row>
    <row r="43" spans="1:15" x14ac:dyDescent="0.2">
      <c r="A43" t="s">
        <v>17</v>
      </c>
      <c r="B43">
        <v>60565</v>
      </c>
      <c r="C43" t="s">
        <v>13</v>
      </c>
      <c r="D43" t="s">
        <v>18</v>
      </c>
      <c r="E43" s="3">
        <v>44780</v>
      </c>
      <c r="F43" t="s">
        <v>15</v>
      </c>
      <c r="G43" s="1"/>
      <c r="H43" t="s">
        <v>15</v>
      </c>
      <c r="I43" s="2">
        <v>45170</v>
      </c>
      <c r="J43">
        <v>776.19</v>
      </c>
      <c r="K43">
        <v>84.9</v>
      </c>
      <c r="L43" t="s">
        <v>20</v>
      </c>
      <c r="M43">
        <f t="shared" si="0"/>
        <v>0</v>
      </c>
      <c r="N43">
        <f t="shared" si="1"/>
        <v>0</v>
      </c>
      <c r="O43">
        <f t="shared" si="2"/>
        <v>0</v>
      </c>
    </row>
    <row r="44" spans="1:15" x14ac:dyDescent="0.2">
      <c r="A44" t="s">
        <v>12</v>
      </c>
      <c r="B44">
        <v>60565</v>
      </c>
      <c r="C44" t="s">
        <v>13</v>
      </c>
      <c r="D44" t="s">
        <v>14</v>
      </c>
      <c r="E44" s="3">
        <v>44655</v>
      </c>
      <c r="F44" t="s">
        <v>15</v>
      </c>
      <c r="G44" s="1"/>
      <c r="H44" t="s">
        <v>15</v>
      </c>
      <c r="I44" s="2">
        <v>45200</v>
      </c>
      <c r="J44">
        <v>759.99</v>
      </c>
      <c r="K44">
        <v>80.8</v>
      </c>
      <c r="L44" t="s">
        <v>20</v>
      </c>
      <c r="M44">
        <f t="shared" si="0"/>
        <v>0</v>
      </c>
      <c r="N44">
        <f t="shared" si="1"/>
        <v>0</v>
      </c>
      <c r="O44">
        <f t="shared" si="2"/>
        <v>0</v>
      </c>
    </row>
    <row r="45" spans="1:15" x14ac:dyDescent="0.2">
      <c r="A45" t="s">
        <v>17</v>
      </c>
      <c r="B45">
        <v>60565</v>
      </c>
      <c r="C45" t="s">
        <v>13</v>
      </c>
      <c r="D45" t="s">
        <v>18</v>
      </c>
      <c r="E45" s="3">
        <v>44780</v>
      </c>
      <c r="F45" t="s">
        <v>15</v>
      </c>
      <c r="G45" s="1"/>
      <c r="H45" t="s">
        <v>15</v>
      </c>
      <c r="I45" s="2">
        <v>45200</v>
      </c>
      <c r="J45">
        <v>721.27</v>
      </c>
      <c r="K45">
        <v>80.8</v>
      </c>
      <c r="L45" t="s">
        <v>20</v>
      </c>
      <c r="M45">
        <f t="shared" si="0"/>
        <v>0</v>
      </c>
      <c r="N45">
        <f t="shared" si="1"/>
        <v>0</v>
      </c>
      <c r="O45">
        <f t="shared" si="2"/>
        <v>0</v>
      </c>
    </row>
    <row r="46" spans="1:15" x14ac:dyDescent="0.2">
      <c r="A46" t="s">
        <v>12</v>
      </c>
      <c r="B46">
        <v>60565</v>
      </c>
      <c r="C46" t="s">
        <v>13</v>
      </c>
      <c r="D46" t="s">
        <v>14</v>
      </c>
      <c r="E46" s="3">
        <v>44655</v>
      </c>
      <c r="F46" t="s">
        <v>15</v>
      </c>
      <c r="G46" s="1"/>
      <c r="H46" t="s">
        <v>15</v>
      </c>
      <c r="I46" s="2">
        <v>45231</v>
      </c>
      <c r="J46">
        <v>651.88</v>
      </c>
      <c r="K46">
        <v>46.5</v>
      </c>
      <c r="L46" t="s">
        <v>16</v>
      </c>
      <c r="M46">
        <f t="shared" si="0"/>
        <v>0</v>
      </c>
      <c r="N46">
        <f t="shared" si="1"/>
        <v>0</v>
      </c>
      <c r="O46">
        <f t="shared" si="2"/>
        <v>0</v>
      </c>
    </row>
    <row r="47" spans="1:15" x14ac:dyDescent="0.2">
      <c r="A47" t="s">
        <v>17</v>
      </c>
      <c r="B47">
        <v>60565</v>
      </c>
      <c r="C47" t="s">
        <v>13</v>
      </c>
      <c r="D47" t="s">
        <v>18</v>
      </c>
      <c r="E47" s="3">
        <v>44780</v>
      </c>
      <c r="F47" t="s">
        <v>15</v>
      </c>
      <c r="G47" s="1"/>
      <c r="H47" t="s">
        <v>15</v>
      </c>
      <c r="I47" s="2">
        <v>45231</v>
      </c>
      <c r="J47">
        <v>786.78</v>
      </c>
      <c r="K47">
        <v>46.5</v>
      </c>
      <c r="L47" t="s">
        <v>16</v>
      </c>
      <c r="M47">
        <f t="shared" si="0"/>
        <v>0</v>
      </c>
      <c r="N47">
        <f t="shared" si="1"/>
        <v>0</v>
      </c>
      <c r="O47">
        <f t="shared" si="2"/>
        <v>0</v>
      </c>
    </row>
    <row r="48" spans="1:15" x14ac:dyDescent="0.2">
      <c r="A48" t="s">
        <v>12</v>
      </c>
      <c r="B48">
        <v>60565</v>
      </c>
      <c r="C48" t="s">
        <v>13</v>
      </c>
      <c r="D48" t="s">
        <v>14</v>
      </c>
      <c r="E48" s="3">
        <v>44655</v>
      </c>
      <c r="F48" t="s">
        <v>15</v>
      </c>
      <c r="G48" s="1"/>
      <c r="H48" t="s">
        <v>15</v>
      </c>
      <c r="I48" s="2">
        <v>45261</v>
      </c>
      <c r="J48">
        <v>490.62</v>
      </c>
      <c r="K48">
        <v>29.2</v>
      </c>
      <c r="L48" t="s">
        <v>19</v>
      </c>
      <c r="M48">
        <f t="shared" si="0"/>
        <v>0</v>
      </c>
      <c r="N48">
        <f t="shared" si="1"/>
        <v>0</v>
      </c>
      <c r="O48">
        <f t="shared" si="2"/>
        <v>0</v>
      </c>
    </row>
    <row r="49" spans="1:15" x14ac:dyDescent="0.2">
      <c r="A49" t="s">
        <v>17</v>
      </c>
      <c r="B49">
        <v>60565</v>
      </c>
      <c r="C49" t="s">
        <v>13</v>
      </c>
      <c r="D49" t="s">
        <v>18</v>
      </c>
      <c r="E49" s="3">
        <v>44780</v>
      </c>
      <c r="F49" t="s">
        <v>15</v>
      </c>
      <c r="G49" s="1"/>
      <c r="H49" t="s">
        <v>15</v>
      </c>
      <c r="I49" s="2">
        <v>45261</v>
      </c>
      <c r="J49">
        <v>606.35</v>
      </c>
      <c r="K49">
        <v>29.2</v>
      </c>
      <c r="L49" t="s">
        <v>19</v>
      </c>
      <c r="M49">
        <f t="shared" si="0"/>
        <v>0</v>
      </c>
      <c r="N49">
        <f t="shared" si="1"/>
        <v>0</v>
      </c>
      <c r="O49">
        <f t="shared" si="2"/>
        <v>0</v>
      </c>
    </row>
    <row r="50" spans="1:15" x14ac:dyDescent="0.2">
      <c r="A50" t="s">
        <v>21</v>
      </c>
      <c r="B50">
        <v>60565</v>
      </c>
      <c r="C50" t="s">
        <v>13</v>
      </c>
      <c r="D50" t="s">
        <v>22</v>
      </c>
      <c r="E50" s="3">
        <v>44562</v>
      </c>
      <c r="F50" t="s">
        <v>15</v>
      </c>
      <c r="G50" s="1"/>
      <c r="H50" t="s">
        <v>15</v>
      </c>
      <c r="I50" s="2">
        <v>44562</v>
      </c>
      <c r="J50">
        <v>788.1</v>
      </c>
      <c r="K50">
        <v>43</v>
      </c>
      <c r="L50" t="s">
        <v>16</v>
      </c>
      <c r="M50">
        <f t="shared" si="0"/>
        <v>0</v>
      </c>
      <c r="N50">
        <f t="shared" si="1"/>
        <v>0</v>
      </c>
      <c r="O50">
        <f t="shared" si="2"/>
        <v>0</v>
      </c>
    </row>
    <row r="51" spans="1:15" x14ac:dyDescent="0.2">
      <c r="A51" t="s">
        <v>21</v>
      </c>
      <c r="B51">
        <v>60565</v>
      </c>
      <c r="C51" t="s">
        <v>13</v>
      </c>
      <c r="D51" t="s">
        <v>22</v>
      </c>
      <c r="E51" s="3">
        <v>44562</v>
      </c>
      <c r="F51" t="s">
        <v>15</v>
      </c>
      <c r="G51" s="1"/>
      <c r="H51" t="s">
        <v>15</v>
      </c>
      <c r="I51" s="2">
        <v>44593</v>
      </c>
      <c r="J51">
        <v>682.21</v>
      </c>
      <c r="K51">
        <v>26.4</v>
      </c>
      <c r="L51" t="s">
        <v>19</v>
      </c>
      <c r="M51">
        <f t="shared" si="0"/>
        <v>0</v>
      </c>
      <c r="N51">
        <f t="shared" si="1"/>
        <v>0</v>
      </c>
      <c r="O51">
        <f t="shared" si="2"/>
        <v>0</v>
      </c>
    </row>
    <row r="52" spans="1:15" x14ac:dyDescent="0.2">
      <c r="A52" t="s">
        <v>21</v>
      </c>
      <c r="B52">
        <v>60565</v>
      </c>
      <c r="C52" t="s">
        <v>13</v>
      </c>
      <c r="D52" t="s">
        <v>22</v>
      </c>
      <c r="E52" s="3">
        <v>44562</v>
      </c>
      <c r="F52" t="s">
        <v>15</v>
      </c>
      <c r="G52" s="1"/>
      <c r="H52" t="s">
        <v>15</v>
      </c>
      <c r="I52" s="2">
        <v>44621</v>
      </c>
      <c r="J52">
        <v>706.3</v>
      </c>
      <c r="K52">
        <v>29.5</v>
      </c>
      <c r="L52" t="s">
        <v>19</v>
      </c>
      <c r="M52">
        <f t="shared" si="0"/>
        <v>0</v>
      </c>
      <c r="N52">
        <f t="shared" si="1"/>
        <v>0</v>
      </c>
      <c r="O52">
        <f t="shared" si="2"/>
        <v>0</v>
      </c>
    </row>
    <row r="53" spans="1:15" x14ac:dyDescent="0.2">
      <c r="A53" t="s">
        <v>21</v>
      </c>
      <c r="B53">
        <v>60565</v>
      </c>
      <c r="C53" t="s">
        <v>13</v>
      </c>
      <c r="D53" t="s">
        <v>22</v>
      </c>
      <c r="E53" s="3">
        <v>44562</v>
      </c>
      <c r="F53" t="s">
        <v>15</v>
      </c>
      <c r="G53" s="1"/>
      <c r="H53" t="s">
        <v>15</v>
      </c>
      <c r="I53" s="2">
        <v>44652</v>
      </c>
      <c r="J53">
        <v>961.88</v>
      </c>
      <c r="K53">
        <v>50.8</v>
      </c>
      <c r="L53" t="s">
        <v>16</v>
      </c>
      <c r="M53">
        <f t="shared" si="0"/>
        <v>0</v>
      </c>
      <c r="N53">
        <f t="shared" si="1"/>
        <v>0</v>
      </c>
      <c r="O53">
        <f t="shared" si="2"/>
        <v>0</v>
      </c>
    </row>
    <row r="54" spans="1:15" x14ac:dyDescent="0.2">
      <c r="A54" t="s">
        <v>21</v>
      </c>
      <c r="B54">
        <v>60565</v>
      </c>
      <c r="C54" t="s">
        <v>13</v>
      </c>
      <c r="D54" t="s">
        <v>22</v>
      </c>
      <c r="E54" s="3">
        <v>44562</v>
      </c>
      <c r="F54" t="s">
        <v>15</v>
      </c>
      <c r="G54" s="1"/>
      <c r="H54" t="s">
        <v>15</v>
      </c>
      <c r="I54" s="2">
        <v>44682</v>
      </c>
      <c r="J54">
        <v>921.52</v>
      </c>
      <c r="K54">
        <v>46.3</v>
      </c>
      <c r="L54" t="s">
        <v>16</v>
      </c>
      <c r="M54">
        <f t="shared" si="0"/>
        <v>0</v>
      </c>
      <c r="N54">
        <f t="shared" si="1"/>
        <v>0</v>
      </c>
      <c r="O54">
        <f t="shared" si="2"/>
        <v>0</v>
      </c>
    </row>
    <row r="55" spans="1:15" x14ac:dyDescent="0.2">
      <c r="A55" t="s">
        <v>21</v>
      </c>
      <c r="B55">
        <v>60565</v>
      </c>
      <c r="C55" t="s">
        <v>13</v>
      </c>
      <c r="D55" t="s">
        <v>22</v>
      </c>
      <c r="E55" s="3">
        <v>44562</v>
      </c>
      <c r="F55" t="s">
        <v>15</v>
      </c>
      <c r="G55" s="1"/>
      <c r="H55" t="s">
        <v>15</v>
      </c>
      <c r="I55" s="2">
        <v>44713</v>
      </c>
      <c r="J55">
        <v>874.21</v>
      </c>
      <c r="K55">
        <v>61.1</v>
      </c>
      <c r="L55" t="s">
        <v>16</v>
      </c>
      <c r="M55">
        <f t="shared" si="0"/>
        <v>0</v>
      </c>
      <c r="N55">
        <f t="shared" si="1"/>
        <v>0</v>
      </c>
      <c r="O55">
        <f t="shared" si="2"/>
        <v>0</v>
      </c>
    </row>
    <row r="56" spans="1:15" x14ac:dyDescent="0.2">
      <c r="A56" t="s">
        <v>21</v>
      </c>
      <c r="B56">
        <v>60565</v>
      </c>
      <c r="C56" t="s">
        <v>13</v>
      </c>
      <c r="D56" t="s">
        <v>22</v>
      </c>
      <c r="E56" s="3">
        <v>44562</v>
      </c>
      <c r="F56" t="s">
        <v>15</v>
      </c>
      <c r="G56" s="1"/>
      <c r="H56" t="s">
        <v>15</v>
      </c>
      <c r="I56" s="2">
        <v>44743</v>
      </c>
      <c r="J56">
        <v>893.98</v>
      </c>
      <c r="K56">
        <v>27.4</v>
      </c>
      <c r="L56" t="s">
        <v>19</v>
      </c>
      <c r="M56">
        <f t="shared" si="0"/>
        <v>0</v>
      </c>
      <c r="N56">
        <f t="shared" si="1"/>
        <v>0</v>
      </c>
      <c r="O56">
        <f t="shared" si="2"/>
        <v>0</v>
      </c>
    </row>
    <row r="57" spans="1:15" x14ac:dyDescent="0.2">
      <c r="A57" t="s">
        <v>21</v>
      </c>
      <c r="B57">
        <v>60565</v>
      </c>
      <c r="C57" t="s">
        <v>13</v>
      </c>
      <c r="D57" t="s">
        <v>22</v>
      </c>
      <c r="E57" s="3">
        <v>44562</v>
      </c>
      <c r="F57" t="s">
        <v>15</v>
      </c>
      <c r="G57" s="1"/>
      <c r="H57" t="s">
        <v>15</v>
      </c>
      <c r="I57" s="2">
        <v>44774</v>
      </c>
      <c r="J57">
        <v>884.6</v>
      </c>
      <c r="K57">
        <v>54.2</v>
      </c>
      <c r="L57" t="s">
        <v>16</v>
      </c>
      <c r="M57">
        <f t="shared" si="0"/>
        <v>0</v>
      </c>
      <c r="N57">
        <f t="shared" si="1"/>
        <v>0</v>
      </c>
      <c r="O57">
        <f t="shared" si="2"/>
        <v>0</v>
      </c>
    </row>
    <row r="58" spans="1:15" x14ac:dyDescent="0.2">
      <c r="A58" t="s">
        <v>21</v>
      </c>
      <c r="B58">
        <v>60565</v>
      </c>
      <c r="C58" t="s">
        <v>13</v>
      </c>
      <c r="D58" t="s">
        <v>22</v>
      </c>
      <c r="E58" s="3">
        <v>44562</v>
      </c>
      <c r="F58" t="s">
        <v>15</v>
      </c>
      <c r="G58" s="1"/>
      <c r="H58" t="s">
        <v>15</v>
      </c>
      <c r="I58" s="2">
        <v>44805</v>
      </c>
      <c r="J58">
        <v>767.66</v>
      </c>
      <c r="K58">
        <v>41.9</v>
      </c>
      <c r="L58" t="s">
        <v>16</v>
      </c>
      <c r="M58">
        <f t="shared" si="0"/>
        <v>0</v>
      </c>
      <c r="N58">
        <f t="shared" si="1"/>
        <v>0</v>
      </c>
      <c r="O58">
        <f t="shared" si="2"/>
        <v>0</v>
      </c>
    </row>
    <row r="59" spans="1:15" x14ac:dyDescent="0.2">
      <c r="A59" t="s">
        <v>21</v>
      </c>
      <c r="B59">
        <v>60565</v>
      </c>
      <c r="C59" t="s">
        <v>13</v>
      </c>
      <c r="D59" t="s">
        <v>22</v>
      </c>
      <c r="E59" s="3">
        <v>44562</v>
      </c>
      <c r="F59" t="s">
        <v>15</v>
      </c>
      <c r="G59" s="1"/>
      <c r="H59" t="s">
        <v>15</v>
      </c>
      <c r="I59" s="2">
        <v>44835</v>
      </c>
      <c r="J59">
        <v>804.76</v>
      </c>
      <c r="K59">
        <v>74.099999999999994</v>
      </c>
      <c r="L59" t="s">
        <v>20</v>
      </c>
      <c r="M59">
        <f t="shared" si="0"/>
        <v>0</v>
      </c>
      <c r="N59">
        <f t="shared" si="1"/>
        <v>0</v>
      </c>
      <c r="O59">
        <f t="shared" si="2"/>
        <v>0</v>
      </c>
    </row>
    <row r="60" spans="1:15" x14ac:dyDescent="0.2">
      <c r="A60" t="s">
        <v>21</v>
      </c>
      <c r="B60">
        <v>60565</v>
      </c>
      <c r="C60" t="s">
        <v>13</v>
      </c>
      <c r="D60" t="s">
        <v>22</v>
      </c>
      <c r="E60" s="3">
        <v>44562</v>
      </c>
      <c r="F60" t="s">
        <v>15</v>
      </c>
      <c r="G60" s="1"/>
      <c r="H60" t="s">
        <v>15</v>
      </c>
      <c r="I60" s="2">
        <v>44866</v>
      </c>
      <c r="J60">
        <v>652.75</v>
      </c>
      <c r="K60">
        <v>42.6</v>
      </c>
      <c r="L60" t="s">
        <v>16</v>
      </c>
      <c r="M60">
        <f t="shared" si="0"/>
        <v>0</v>
      </c>
      <c r="N60">
        <f t="shared" si="1"/>
        <v>0</v>
      </c>
      <c r="O60">
        <f t="shared" si="2"/>
        <v>0</v>
      </c>
    </row>
    <row r="61" spans="1:15" x14ac:dyDescent="0.2">
      <c r="A61" t="s">
        <v>21</v>
      </c>
      <c r="B61">
        <v>60565</v>
      </c>
      <c r="C61" t="s">
        <v>13</v>
      </c>
      <c r="D61" t="s">
        <v>22</v>
      </c>
      <c r="E61" s="3">
        <v>44562</v>
      </c>
      <c r="F61" t="s">
        <v>15</v>
      </c>
      <c r="G61" s="1"/>
      <c r="H61" t="s">
        <v>15</v>
      </c>
      <c r="I61" s="2">
        <v>44896</v>
      </c>
      <c r="J61">
        <v>791.03</v>
      </c>
      <c r="K61">
        <v>52.3</v>
      </c>
      <c r="L61" t="s">
        <v>16</v>
      </c>
      <c r="M61">
        <f t="shared" si="0"/>
        <v>0</v>
      </c>
      <c r="N61">
        <f t="shared" si="1"/>
        <v>0</v>
      </c>
      <c r="O61">
        <f t="shared" si="2"/>
        <v>0</v>
      </c>
    </row>
    <row r="62" spans="1:15" x14ac:dyDescent="0.2">
      <c r="A62" t="s">
        <v>21</v>
      </c>
      <c r="B62">
        <v>60565</v>
      </c>
      <c r="C62" t="s">
        <v>13</v>
      </c>
      <c r="D62" t="s">
        <v>22</v>
      </c>
      <c r="E62" s="3">
        <v>44562</v>
      </c>
      <c r="F62" t="s">
        <v>15</v>
      </c>
      <c r="G62" s="1"/>
      <c r="H62" t="s">
        <v>15</v>
      </c>
      <c r="I62" s="2">
        <v>44927</v>
      </c>
      <c r="J62">
        <v>818.34</v>
      </c>
      <c r="K62">
        <v>76.2</v>
      </c>
      <c r="L62" t="s">
        <v>20</v>
      </c>
      <c r="M62">
        <f t="shared" si="0"/>
        <v>0</v>
      </c>
      <c r="N62">
        <f t="shared" si="1"/>
        <v>0</v>
      </c>
      <c r="O62">
        <f t="shared" si="2"/>
        <v>0</v>
      </c>
    </row>
    <row r="63" spans="1:15" x14ac:dyDescent="0.2">
      <c r="A63" t="s">
        <v>21</v>
      </c>
      <c r="B63">
        <v>60565</v>
      </c>
      <c r="C63" t="s">
        <v>13</v>
      </c>
      <c r="D63" t="s">
        <v>22</v>
      </c>
      <c r="E63" s="3">
        <v>44562</v>
      </c>
      <c r="F63" t="s">
        <v>15</v>
      </c>
      <c r="G63" s="1"/>
      <c r="H63" t="s">
        <v>15</v>
      </c>
      <c r="I63" s="2">
        <v>44958</v>
      </c>
      <c r="J63">
        <v>633.92999999999995</v>
      </c>
      <c r="K63">
        <v>73.7</v>
      </c>
      <c r="L63" t="s">
        <v>20</v>
      </c>
      <c r="M63">
        <f t="shared" si="0"/>
        <v>0</v>
      </c>
      <c r="N63">
        <f t="shared" si="1"/>
        <v>0</v>
      </c>
      <c r="O63">
        <f t="shared" si="2"/>
        <v>0</v>
      </c>
    </row>
    <row r="64" spans="1:15" x14ac:dyDescent="0.2">
      <c r="A64" t="s">
        <v>21</v>
      </c>
      <c r="B64">
        <v>60565</v>
      </c>
      <c r="C64" t="s">
        <v>13</v>
      </c>
      <c r="D64" t="s">
        <v>22</v>
      </c>
      <c r="E64" s="3">
        <v>44562</v>
      </c>
      <c r="F64" t="s">
        <v>15</v>
      </c>
      <c r="G64" s="1"/>
      <c r="H64" t="s">
        <v>15</v>
      </c>
      <c r="I64" s="2">
        <v>44986</v>
      </c>
      <c r="J64">
        <v>802.31</v>
      </c>
      <c r="K64">
        <v>52.8</v>
      </c>
      <c r="L64" t="s">
        <v>16</v>
      </c>
      <c r="M64">
        <f t="shared" si="0"/>
        <v>0</v>
      </c>
      <c r="N64">
        <f t="shared" si="1"/>
        <v>0</v>
      </c>
      <c r="O64">
        <f t="shared" si="2"/>
        <v>0</v>
      </c>
    </row>
    <row r="65" spans="1:15" x14ac:dyDescent="0.2">
      <c r="A65" t="s">
        <v>21</v>
      </c>
      <c r="B65">
        <v>60565</v>
      </c>
      <c r="C65" t="s">
        <v>13</v>
      </c>
      <c r="D65" t="s">
        <v>22</v>
      </c>
      <c r="E65" s="3">
        <v>44562</v>
      </c>
      <c r="F65" t="s">
        <v>15</v>
      </c>
      <c r="G65" s="1"/>
      <c r="H65" t="s">
        <v>15</v>
      </c>
      <c r="I65" s="2">
        <v>45017</v>
      </c>
      <c r="J65">
        <v>709.16</v>
      </c>
      <c r="K65">
        <v>103.1</v>
      </c>
      <c r="L65" t="s">
        <v>20</v>
      </c>
      <c r="M65">
        <f t="shared" si="0"/>
        <v>0</v>
      </c>
      <c r="N65">
        <f t="shared" si="1"/>
        <v>0</v>
      </c>
      <c r="O65">
        <f t="shared" si="2"/>
        <v>0</v>
      </c>
    </row>
    <row r="66" spans="1:15" x14ac:dyDescent="0.2">
      <c r="A66" t="s">
        <v>21</v>
      </c>
      <c r="B66">
        <v>60565</v>
      </c>
      <c r="C66" t="s">
        <v>13</v>
      </c>
      <c r="D66" t="s">
        <v>22</v>
      </c>
      <c r="E66" s="3">
        <v>44562</v>
      </c>
      <c r="F66" t="s">
        <v>15</v>
      </c>
      <c r="G66" s="1"/>
      <c r="H66" t="s">
        <v>15</v>
      </c>
      <c r="I66" s="2">
        <v>45047</v>
      </c>
      <c r="J66">
        <v>561.46</v>
      </c>
      <c r="K66">
        <v>40.6</v>
      </c>
      <c r="L66" t="s">
        <v>16</v>
      </c>
      <c r="M66">
        <f t="shared" ref="M66:M129" si="3">SUMIFS(J66,I66, "&lt;" &amp;G66,I66,"&lt;&gt;",G66,"&lt;&gt;")</f>
        <v>0</v>
      </c>
      <c r="N66">
        <f t="shared" ref="N66:N129" si="4">SUMIFS(J66,I66, "&gt;=" &amp;G66,I66,"&lt;&gt;",G66,"&lt;&gt;")</f>
        <v>0</v>
      </c>
      <c r="O66">
        <f t="shared" ref="O66:O129" si="5">SUM(M66-N66)</f>
        <v>0</v>
      </c>
    </row>
    <row r="67" spans="1:15" x14ac:dyDescent="0.2">
      <c r="A67" t="s">
        <v>21</v>
      </c>
      <c r="B67">
        <v>60565</v>
      </c>
      <c r="C67" t="s">
        <v>13</v>
      </c>
      <c r="D67" t="s">
        <v>22</v>
      </c>
      <c r="E67" s="3">
        <v>44562</v>
      </c>
      <c r="F67" t="s">
        <v>15</v>
      </c>
      <c r="G67" s="1"/>
      <c r="H67" t="s">
        <v>15</v>
      </c>
      <c r="I67" s="2">
        <v>45078</v>
      </c>
      <c r="J67">
        <v>589.27</v>
      </c>
      <c r="K67">
        <v>76</v>
      </c>
      <c r="L67" t="s">
        <v>20</v>
      </c>
      <c r="M67">
        <f t="shared" si="3"/>
        <v>0</v>
      </c>
      <c r="N67">
        <f t="shared" si="4"/>
        <v>0</v>
      </c>
      <c r="O67">
        <f t="shared" si="5"/>
        <v>0</v>
      </c>
    </row>
    <row r="68" spans="1:15" x14ac:dyDescent="0.2">
      <c r="A68" t="s">
        <v>21</v>
      </c>
      <c r="B68">
        <v>60565</v>
      </c>
      <c r="C68" t="s">
        <v>13</v>
      </c>
      <c r="D68" t="s">
        <v>22</v>
      </c>
      <c r="E68" s="3">
        <v>44562</v>
      </c>
      <c r="F68" t="s">
        <v>15</v>
      </c>
      <c r="G68" s="1"/>
      <c r="H68" t="s">
        <v>15</v>
      </c>
      <c r="I68" s="2">
        <v>45108</v>
      </c>
      <c r="J68">
        <v>791.93</v>
      </c>
      <c r="K68">
        <v>38.9</v>
      </c>
      <c r="L68" t="s">
        <v>19</v>
      </c>
      <c r="M68">
        <f t="shared" si="3"/>
        <v>0</v>
      </c>
      <c r="N68">
        <f t="shared" si="4"/>
        <v>0</v>
      </c>
      <c r="O68">
        <f t="shared" si="5"/>
        <v>0</v>
      </c>
    </row>
    <row r="69" spans="1:15" x14ac:dyDescent="0.2">
      <c r="A69" t="s">
        <v>21</v>
      </c>
      <c r="B69">
        <v>60565</v>
      </c>
      <c r="C69" t="s">
        <v>13</v>
      </c>
      <c r="D69" t="s">
        <v>22</v>
      </c>
      <c r="E69" s="3">
        <v>44562</v>
      </c>
      <c r="F69" t="s">
        <v>15</v>
      </c>
      <c r="G69" s="1"/>
      <c r="H69" t="s">
        <v>15</v>
      </c>
      <c r="I69" s="2">
        <v>45139</v>
      </c>
      <c r="J69">
        <v>755.25</v>
      </c>
      <c r="K69">
        <v>80</v>
      </c>
      <c r="L69" t="s">
        <v>20</v>
      </c>
      <c r="M69">
        <f t="shared" si="3"/>
        <v>0</v>
      </c>
      <c r="N69">
        <f t="shared" si="4"/>
        <v>0</v>
      </c>
      <c r="O69">
        <f t="shared" si="5"/>
        <v>0</v>
      </c>
    </row>
    <row r="70" spans="1:15" x14ac:dyDescent="0.2">
      <c r="A70" t="s">
        <v>21</v>
      </c>
      <c r="B70">
        <v>60565</v>
      </c>
      <c r="C70" t="s">
        <v>13</v>
      </c>
      <c r="D70" t="s">
        <v>22</v>
      </c>
      <c r="E70" s="3">
        <v>44562</v>
      </c>
      <c r="F70" t="s">
        <v>15</v>
      </c>
      <c r="G70" s="1"/>
      <c r="H70" t="s">
        <v>15</v>
      </c>
      <c r="I70" s="2">
        <v>45170</v>
      </c>
      <c r="J70">
        <v>710.18</v>
      </c>
      <c r="K70">
        <v>84.9</v>
      </c>
      <c r="L70" t="s">
        <v>20</v>
      </c>
      <c r="M70">
        <f t="shared" si="3"/>
        <v>0</v>
      </c>
      <c r="N70">
        <f t="shared" si="4"/>
        <v>0</v>
      </c>
      <c r="O70">
        <f t="shared" si="5"/>
        <v>0</v>
      </c>
    </row>
    <row r="71" spans="1:15" x14ac:dyDescent="0.2">
      <c r="A71" t="s">
        <v>21</v>
      </c>
      <c r="B71">
        <v>60565</v>
      </c>
      <c r="C71" t="s">
        <v>13</v>
      </c>
      <c r="D71" t="s">
        <v>22</v>
      </c>
      <c r="E71" s="3">
        <v>44562</v>
      </c>
      <c r="F71" t="s">
        <v>15</v>
      </c>
      <c r="G71" s="1"/>
      <c r="H71" t="s">
        <v>15</v>
      </c>
      <c r="I71" s="2">
        <v>45200</v>
      </c>
      <c r="J71">
        <v>672.6</v>
      </c>
      <c r="K71">
        <v>80.8</v>
      </c>
      <c r="L71" t="s">
        <v>20</v>
      </c>
      <c r="M71">
        <f t="shared" si="3"/>
        <v>0</v>
      </c>
      <c r="N71">
        <f t="shared" si="4"/>
        <v>0</v>
      </c>
      <c r="O71">
        <f t="shared" si="5"/>
        <v>0</v>
      </c>
    </row>
    <row r="72" spans="1:15" x14ac:dyDescent="0.2">
      <c r="A72" t="s">
        <v>21</v>
      </c>
      <c r="B72">
        <v>60565</v>
      </c>
      <c r="C72" t="s">
        <v>13</v>
      </c>
      <c r="D72" t="s">
        <v>22</v>
      </c>
      <c r="E72" s="3">
        <v>44562</v>
      </c>
      <c r="F72" t="s">
        <v>15</v>
      </c>
      <c r="G72" s="1"/>
      <c r="H72" t="s">
        <v>15</v>
      </c>
      <c r="I72" s="2">
        <v>45231</v>
      </c>
      <c r="J72">
        <v>721.06</v>
      </c>
      <c r="K72">
        <v>46.5</v>
      </c>
      <c r="L72" t="s">
        <v>16</v>
      </c>
      <c r="M72">
        <f t="shared" si="3"/>
        <v>0</v>
      </c>
      <c r="N72">
        <f t="shared" si="4"/>
        <v>0</v>
      </c>
      <c r="O72">
        <f t="shared" si="5"/>
        <v>0</v>
      </c>
    </row>
    <row r="73" spans="1:15" x14ac:dyDescent="0.2">
      <c r="A73" t="s">
        <v>21</v>
      </c>
      <c r="B73">
        <v>60565</v>
      </c>
      <c r="C73" t="s">
        <v>13</v>
      </c>
      <c r="D73" t="s">
        <v>22</v>
      </c>
      <c r="E73" s="3">
        <v>44562</v>
      </c>
      <c r="F73" t="s">
        <v>15</v>
      </c>
      <c r="G73" s="1"/>
      <c r="H73" t="s">
        <v>15</v>
      </c>
      <c r="I73" s="2">
        <v>45261</v>
      </c>
      <c r="J73">
        <v>788.03</v>
      </c>
      <c r="K73">
        <v>29.2</v>
      </c>
      <c r="L73" t="s">
        <v>19</v>
      </c>
      <c r="M73">
        <f t="shared" si="3"/>
        <v>0</v>
      </c>
      <c r="N73">
        <f t="shared" si="4"/>
        <v>0</v>
      </c>
      <c r="O73">
        <f t="shared" si="5"/>
        <v>0</v>
      </c>
    </row>
    <row r="74" spans="1:15" x14ac:dyDescent="0.2">
      <c r="A74" t="s">
        <v>23</v>
      </c>
      <c r="B74">
        <v>60565</v>
      </c>
      <c r="C74" t="s">
        <v>24</v>
      </c>
      <c r="D74" t="s">
        <v>22</v>
      </c>
      <c r="E74" s="3">
        <v>44756</v>
      </c>
      <c r="F74" t="s">
        <v>15</v>
      </c>
      <c r="G74" s="1"/>
      <c r="H74" t="s">
        <v>15</v>
      </c>
      <c r="I74" s="2">
        <v>44562</v>
      </c>
      <c r="J74">
        <v>712.6</v>
      </c>
      <c r="K74">
        <v>43</v>
      </c>
      <c r="L74" t="s">
        <v>16</v>
      </c>
      <c r="M74">
        <f t="shared" si="3"/>
        <v>0</v>
      </c>
      <c r="N74">
        <f t="shared" si="4"/>
        <v>0</v>
      </c>
      <c r="O74">
        <f t="shared" si="5"/>
        <v>0</v>
      </c>
    </row>
    <row r="75" spans="1:15" x14ac:dyDescent="0.2">
      <c r="A75" t="s">
        <v>23</v>
      </c>
      <c r="B75">
        <v>60565</v>
      </c>
      <c r="C75" t="s">
        <v>24</v>
      </c>
      <c r="D75" t="s">
        <v>22</v>
      </c>
      <c r="E75" s="3">
        <v>44756</v>
      </c>
      <c r="F75" t="s">
        <v>15</v>
      </c>
      <c r="G75" s="1"/>
      <c r="H75" t="s">
        <v>15</v>
      </c>
      <c r="I75" s="2">
        <v>44593</v>
      </c>
      <c r="J75">
        <v>637.38</v>
      </c>
      <c r="K75">
        <v>26.4</v>
      </c>
      <c r="L75" t="s">
        <v>19</v>
      </c>
      <c r="M75">
        <f t="shared" si="3"/>
        <v>0</v>
      </c>
      <c r="N75">
        <f t="shared" si="4"/>
        <v>0</v>
      </c>
      <c r="O75">
        <f t="shared" si="5"/>
        <v>0</v>
      </c>
    </row>
    <row r="76" spans="1:15" x14ac:dyDescent="0.2">
      <c r="A76" t="s">
        <v>23</v>
      </c>
      <c r="B76">
        <v>60565</v>
      </c>
      <c r="C76" t="s">
        <v>24</v>
      </c>
      <c r="D76" t="s">
        <v>22</v>
      </c>
      <c r="E76" s="3">
        <v>44756</v>
      </c>
      <c r="F76" t="s">
        <v>15</v>
      </c>
      <c r="G76" s="1"/>
      <c r="H76" t="s">
        <v>15</v>
      </c>
      <c r="I76" s="2">
        <v>44621</v>
      </c>
      <c r="J76">
        <v>971.68</v>
      </c>
      <c r="K76">
        <v>29.5</v>
      </c>
      <c r="L76" t="s">
        <v>19</v>
      </c>
      <c r="M76">
        <f t="shared" si="3"/>
        <v>0</v>
      </c>
      <c r="N76">
        <f t="shared" si="4"/>
        <v>0</v>
      </c>
      <c r="O76">
        <f t="shared" si="5"/>
        <v>0</v>
      </c>
    </row>
    <row r="77" spans="1:15" x14ac:dyDescent="0.2">
      <c r="A77" t="s">
        <v>23</v>
      </c>
      <c r="B77">
        <v>60565</v>
      </c>
      <c r="C77" t="s">
        <v>24</v>
      </c>
      <c r="D77" t="s">
        <v>22</v>
      </c>
      <c r="E77" s="3">
        <v>44756</v>
      </c>
      <c r="F77" t="s">
        <v>15</v>
      </c>
      <c r="G77" s="1"/>
      <c r="H77" t="s">
        <v>15</v>
      </c>
      <c r="I77" s="2">
        <v>44652</v>
      </c>
      <c r="J77">
        <v>953.76</v>
      </c>
      <c r="K77">
        <v>50.8</v>
      </c>
      <c r="L77" t="s">
        <v>16</v>
      </c>
      <c r="M77">
        <f t="shared" si="3"/>
        <v>0</v>
      </c>
      <c r="N77">
        <f t="shared" si="4"/>
        <v>0</v>
      </c>
      <c r="O77">
        <f t="shared" si="5"/>
        <v>0</v>
      </c>
    </row>
    <row r="78" spans="1:15" x14ac:dyDescent="0.2">
      <c r="A78" t="s">
        <v>23</v>
      </c>
      <c r="B78">
        <v>60565</v>
      </c>
      <c r="C78" t="s">
        <v>24</v>
      </c>
      <c r="D78" t="s">
        <v>22</v>
      </c>
      <c r="E78" s="3">
        <v>44756</v>
      </c>
      <c r="F78" t="s">
        <v>15</v>
      </c>
      <c r="G78" s="1"/>
      <c r="H78" t="s">
        <v>15</v>
      </c>
      <c r="I78" s="2">
        <v>44682</v>
      </c>
      <c r="J78">
        <v>659.37</v>
      </c>
      <c r="K78">
        <v>46.3</v>
      </c>
      <c r="L78" t="s">
        <v>16</v>
      </c>
      <c r="M78">
        <f t="shared" si="3"/>
        <v>0</v>
      </c>
      <c r="N78">
        <f t="shared" si="4"/>
        <v>0</v>
      </c>
      <c r="O78">
        <f t="shared" si="5"/>
        <v>0</v>
      </c>
    </row>
    <row r="79" spans="1:15" x14ac:dyDescent="0.2">
      <c r="A79" t="s">
        <v>23</v>
      </c>
      <c r="B79">
        <v>60565</v>
      </c>
      <c r="C79" t="s">
        <v>24</v>
      </c>
      <c r="D79" t="s">
        <v>22</v>
      </c>
      <c r="E79" s="3">
        <v>44756</v>
      </c>
      <c r="F79" t="s">
        <v>15</v>
      </c>
      <c r="G79" s="1"/>
      <c r="H79" t="s">
        <v>15</v>
      </c>
      <c r="I79" s="2">
        <v>44713</v>
      </c>
      <c r="J79">
        <v>744.74</v>
      </c>
      <c r="K79">
        <v>61.1</v>
      </c>
      <c r="L79" t="s">
        <v>16</v>
      </c>
      <c r="M79">
        <f t="shared" si="3"/>
        <v>0</v>
      </c>
      <c r="N79">
        <f t="shared" si="4"/>
        <v>0</v>
      </c>
      <c r="O79">
        <f t="shared" si="5"/>
        <v>0</v>
      </c>
    </row>
    <row r="80" spans="1:15" x14ac:dyDescent="0.2">
      <c r="A80" t="s">
        <v>23</v>
      </c>
      <c r="B80">
        <v>60565</v>
      </c>
      <c r="C80" t="s">
        <v>24</v>
      </c>
      <c r="D80" t="s">
        <v>22</v>
      </c>
      <c r="E80" s="3">
        <v>44756</v>
      </c>
      <c r="F80" t="s">
        <v>15</v>
      </c>
      <c r="G80" s="1"/>
      <c r="H80" t="s">
        <v>15</v>
      </c>
      <c r="I80" s="2">
        <v>44743</v>
      </c>
      <c r="J80">
        <v>843.31</v>
      </c>
      <c r="K80">
        <v>27.4</v>
      </c>
      <c r="L80" t="s">
        <v>19</v>
      </c>
      <c r="M80">
        <f t="shared" si="3"/>
        <v>0</v>
      </c>
      <c r="N80">
        <f t="shared" si="4"/>
        <v>0</v>
      </c>
      <c r="O80">
        <f t="shared" si="5"/>
        <v>0</v>
      </c>
    </row>
    <row r="81" spans="1:15" x14ac:dyDescent="0.2">
      <c r="A81" t="s">
        <v>23</v>
      </c>
      <c r="B81">
        <v>60565</v>
      </c>
      <c r="C81" t="s">
        <v>24</v>
      </c>
      <c r="D81" t="s">
        <v>22</v>
      </c>
      <c r="E81" s="3">
        <v>44756</v>
      </c>
      <c r="F81" t="s">
        <v>15</v>
      </c>
      <c r="G81" s="1"/>
      <c r="H81" t="s">
        <v>15</v>
      </c>
      <c r="I81" s="2">
        <v>44774</v>
      </c>
      <c r="J81">
        <v>770.05</v>
      </c>
      <c r="K81">
        <v>54.2</v>
      </c>
      <c r="L81" t="s">
        <v>16</v>
      </c>
      <c r="M81">
        <f t="shared" si="3"/>
        <v>0</v>
      </c>
      <c r="N81">
        <f t="shared" si="4"/>
        <v>0</v>
      </c>
      <c r="O81">
        <f t="shared" si="5"/>
        <v>0</v>
      </c>
    </row>
    <row r="82" spans="1:15" x14ac:dyDescent="0.2">
      <c r="A82" t="s">
        <v>23</v>
      </c>
      <c r="B82">
        <v>60565</v>
      </c>
      <c r="C82" t="s">
        <v>24</v>
      </c>
      <c r="D82" t="s">
        <v>22</v>
      </c>
      <c r="E82" s="3">
        <v>44756</v>
      </c>
      <c r="F82" t="s">
        <v>15</v>
      </c>
      <c r="G82" s="1"/>
      <c r="H82" t="s">
        <v>15</v>
      </c>
      <c r="I82" s="2">
        <v>44805</v>
      </c>
      <c r="J82">
        <v>608.13</v>
      </c>
      <c r="K82">
        <v>41.9</v>
      </c>
      <c r="L82" t="s">
        <v>16</v>
      </c>
      <c r="M82">
        <f t="shared" si="3"/>
        <v>0</v>
      </c>
      <c r="N82">
        <f t="shared" si="4"/>
        <v>0</v>
      </c>
      <c r="O82">
        <f t="shared" si="5"/>
        <v>0</v>
      </c>
    </row>
    <row r="83" spans="1:15" x14ac:dyDescent="0.2">
      <c r="A83" t="s">
        <v>23</v>
      </c>
      <c r="B83">
        <v>60565</v>
      </c>
      <c r="C83" t="s">
        <v>24</v>
      </c>
      <c r="D83" t="s">
        <v>22</v>
      </c>
      <c r="E83" s="3">
        <v>44756</v>
      </c>
      <c r="F83" t="s">
        <v>15</v>
      </c>
      <c r="G83" s="1"/>
      <c r="H83" t="s">
        <v>15</v>
      </c>
      <c r="I83" s="2">
        <v>44835</v>
      </c>
      <c r="J83">
        <v>734.22</v>
      </c>
      <c r="K83">
        <v>74.099999999999994</v>
      </c>
      <c r="L83" t="s">
        <v>20</v>
      </c>
      <c r="M83">
        <f t="shared" si="3"/>
        <v>0</v>
      </c>
      <c r="N83">
        <f t="shared" si="4"/>
        <v>0</v>
      </c>
      <c r="O83">
        <f t="shared" si="5"/>
        <v>0</v>
      </c>
    </row>
    <row r="84" spans="1:15" x14ac:dyDescent="0.2">
      <c r="A84" t="s">
        <v>23</v>
      </c>
      <c r="B84">
        <v>60565</v>
      </c>
      <c r="C84" t="s">
        <v>24</v>
      </c>
      <c r="D84" t="s">
        <v>22</v>
      </c>
      <c r="E84" s="3">
        <v>44756</v>
      </c>
      <c r="F84" t="s">
        <v>15</v>
      </c>
      <c r="G84" s="1"/>
      <c r="H84" t="s">
        <v>15</v>
      </c>
      <c r="I84" s="2">
        <v>44866</v>
      </c>
      <c r="J84">
        <v>995.1</v>
      </c>
      <c r="K84">
        <v>42.6</v>
      </c>
      <c r="L84" t="s">
        <v>16</v>
      </c>
      <c r="M84">
        <f t="shared" si="3"/>
        <v>0</v>
      </c>
      <c r="N84">
        <f t="shared" si="4"/>
        <v>0</v>
      </c>
      <c r="O84">
        <f t="shared" si="5"/>
        <v>0</v>
      </c>
    </row>
    <row r="85" spans="1:15" x14ac:dyDescent="0.2">
      <c r="A85" t="s">
        <v>23</v>
      </c>
      <c r="B85">
        <v>60565</v>
      </c>
      <c r="C85" t="s">
        <v>24</v>
      </c>
      <c r="D85" t="s">
        <v>22</v>
      </c>
      <c r="E85" s="3">
        <v>44756</v>
      </c>
      <c r="F85" t="s">
        <v>15</v>
      </c>
      <c r="G85" s="1"/>
      <c r="H85" t="s">
        <v>15</v>
      </c>
      <c r="I85" s="2">
        <v>44896</v>
      </c>
      <c r="J85">
        <v>741</v>
      </c>
      <c r="K85">
        <v>52.3</v>
      </c>
      <c r="L85" t="s">
        <v>16</v>
      </c>
      <c r="M85">
        <f t="shared" si="3"/>
        <v>0</v>
      </c>
      <c r="N85">
        <f t="shared" si="4"/>
        <v>0</v>
      </c>
      <c r="O85">
        <f t="shared" si="5"/>
        <v>0</v>
      </c>
    </row>
    <row r="86" spans="1:15" x14ac:dyDescent="0.2">
      <c r="A86" t="s">
        <v>23</v>
      </c>
      <c r="B86">
        <v>60565</v>
      </c>
      <c r="C86" t="s">
        <v>24</v>
      </c>
      <c r="D86" t="s">
        <v>22</v>
      </c>
      <c r="E86" s="3">
        <v>44756</v>
      </c>
      <c r="F86" t="s">
        <v>15</v>
      </c>
      <c r="G86" s="1"/>
      <c r="H86" t="s">
        <v>15</v>
      </c>
      <c r="I86" s="2">
        <v>44927</v>
      </c>
      <c r="J86">
        <v>683.65</v>
      </c>
      <c r="K86">
        <v>76.2</v>
      </c>
      <c r="L86" t="s">
        <v>20</v>
      </c>
      <c r="M86">
        <f t="shared" si="3"/>
        <v>0</v>
      </c>
      <c r="N86">
        <f t="shared" si="4"/>
        <v>0</v>
      </c>
      <c r="O86">
        <f t="shared" si="5"/>
        <v>0</v>
      </c>
    </row>
    <row r="87" spans="1:15" x14ac:dyDescent="0.2">
      <c r="A87" t="s">
        <v>23</v>
      </c>
      <c r="B87">
        <v>60565</v>
      </c>
      <c r="C87" t="s">
        <v>24</v>
      </c>
      <c r="D87" t="s">
        <v>22</v>
      </c>
      <c r="E87" s="3">
        <v>44756</v>
      </c>
      <c r="F87" t="s">
        <v>15</v>
      </c>
      <c r="G87" s="1"/>
      <c r="H87" t="s">
        <v>15</v>
      </c>
      <c r="I87" s="2">
        <v>44958</v>
      </c>
      <c r="J87">
        <v>585.48</v>
      </c>
      <c r="K87">
        <v>73.7</v>
      </c>
      <c r="L87" t="s">
        <v>20</v>
      </c>
      <c r="M87">
        <f t="shared" si="3"/>
        <v>0</v>
      </c>
      <c r="N87">
        <f t="shared" si="4"/>
        <v>0</v>
      </c>
      <c r="O87">
        <f t="shared" si="5"/>
        <v>0</v>
      </c>
    </row>
    <row r="88" spans="1:15" x14ac:dyDescent="0.2">
      <c r="A88" t="s">
        <v>23</v>
      </c>
      <c r="B88">
        <v>60565</v>
      </c>
      <c r="C88" t="s">
        <v>24</v>
      </c>
      <c r="D88" t="s">
        <v>22</v>
      </c>
      <c r="E88" s="3">
        <v>44756</v>
      </c>
      <c r="F88" t="s">
        <v>15</v>
      </c>
      <c r="G88" s="1"/>
      <c r="H88" t="s">
        <v>15</v>
      </c>
      <c r="I88" s="2">
        <v>44986</v>
      </c>
      <c r="J88">
        <v>758.78</v>
      </c>
      <c r="K88">
        <v>52.8</v>
      </c>
      <c r="L88" t="s">
        <v>16</v>
      </c>
      <c r="M88">
        <f t="shared" si="3"/>
        <v>0</v>
      </c>
      <c r="N88">
        <f t="shared" si="4"/>
        <v>0</v>
      </c>
      <c r="O88">
        <f t="shared" si="5"/>
        <v>0</v>
      </c>
    </row>
    <row r="89" spans="1:15" x14ac:dyDescent="0.2">
      <c r="A89" t="s">
        <v>23</v>
      </c>
      <c r="B89">
        <v>60565</v>
      </c>
      <c r="C89" t="s">
        <v>24</v>
      </c>
      <c r="D89" t="s">
        <v>22</v>
      </c>
      <c r="E89" s="3">
        <v>44756</v>
      </c>
      <c r="F89" t="s">
        <v>15</v>
      </c>
      <c r="G89" s="1"/>
      <c r="H89" t="s">
        <v>15</v>
      </c>
      <c r="I89" s="2">
        <v>45017</v>
      </c>
      <c r="J89">
        <v>711.52</v>
      </c>
      <c r="K89">
        <v>103.1</v>
      </c>
      <c r="L89" t="s">
        <v>20</v>
      </c>
      <c r="M89">
        <f t="shared" si="3"/>
        <v>0</v>
      </c>
      <c r="N89">
        <f t="shared" si="4"/>
        <v>0</v>
      </c>
      <c r="O89">
        <f t="shared" si="5"/>
        <v>0</v>
      </c>
    </row>
    <row r="90" spans="1:15" x14ac:dyDescent="0.2">
      <c r="A90" t="s">
        <v>23</v>
      </c>
      <c r="B90">
        <v>60565</v>
      </c>
      <c r="C90" t="s">
        <v>24</v>
      </c>
      <c r="D90" t="s">
        <v>22</v>
      </c>
      <c r="E90" s="3">
        <v>44756</v>
      </c>
      <c r="F90" t="s">
        <v>15</v>
      </c>
      <c r="G90" s="1"/>
      <c r="H90" t="s">
        <v>15</v>
      </c>
      <c r="I90" s="2">
        <v>45047</v>
      </c>
      <c r="J90">
        <v>625.79999999999995</v>
      </c>
      <c r="K90">
        <v>40.6</v>
      </c>
      <c r="L90" t="s">
        <v>16</v>
      </c>
      <c r="M90">
        <f t="shared" si="3"/>
        <v>0</v>
      </c>
      <c r="N90">
        <f t="shared" si="4"/>
        <v>0</v>
      </c>
      <c r="O90">
        <f t="shared" si="5"/>
        <v>0</v>
      </c>
    </row>
    <row r="91" spans="1:15" x14ac:dyDescent="0.2">
      <c r="A91" t="s">
        <v>23</v>
      </c>
      <c r="B91">
        <v>60565</v>
      </c>
      <c r="C91" t="s">
        <v>24</v>
      </c>
      <c r="D91" t="s">
        <v>22</v>
      </c>
      <c r="E91" s="3">
        <v>44756</v>
      </c>
      <c r="F91" t="s">
        <v>15</v>
      </c>
      <c r="G91" s="1"/>
      <c r="H91" t="s">
        <v>15</v>
      </c>
      <c r="I91" s="2">
        <v>45078</v>
      </c>
      <c r="J91">
        <v>569.53</v>
      </c>
      <c r="K91">
        <v>76</v>
      </c>
      <c r="L91" t="s">
        <v>20</v>
      </c>
      <c r="M91">
        <f t="shared" si="3"/>
        <v>0</v>
      </c>
      <c r="N91">
        <f t="shared" si="4"/>
        <v>0</v>
      </c>
      <c r="O91">
        <f t="shared" si="5"/>
        <v>0</v>
      </c>
    </row>
    <row r="92" spans="1:15" x14ac:dyDescent="0.2">
      <c r="A92" t="s">
        <v>23</v>
      </c>
      <c r="B92">
        <v>60565</v>
      </c>
      <c r="C92" t="s">
        <v>24</v>
      </c>
      <c r="D92" t="s">
        <v>22</v>
      </c>
      <c r="E92" s="3">
        <v>44756</v>
      </c>
      <c r="F92" t="s">
        <v>15</v>
      </c>
      <c r="G92" s="1"/>
      <c r="H92" t="s">
        <v>15</v>
      </c>
      <c r="I92" s="2">
        <v>45108</v>
      </c>
      <c r="J92">
        <v>840.45</v>
      </c>
      <c r="K92">
        <v>38.9</v>
      </c>
      <c r="L92" t="s">
        <v>19</v>
      </c>
      <c r="M92">
        <f t="shared" si="3"/>
        <v>0</v>
      </c>
      <c r="N92">
        <f t="shared" si="4"/>
        <v>0</v>
      </c>
      <c r="O92">
        <f t="shared" si="5"/>
        <v>0</v>
      </c>
    </row>
    <row r="93" spans="1:15" x14ac:dyDescent="0.2">
      <c r="A93" t="s">
        <v>23</v>
      </c>
      <c r="B93">
        <v>60565</v>
      </c>
      <c r="C93" t="s">
        <v>24</v>
      </c>
      <c r="D93" t="s">
        <v>22</v>
      </c>
      <c r="E93" s="3">
        <v>44756</v>
      </c>
      <c r="F93" t="s">
        <v>15</v>
      </c>
      <c r="G93" s="1"/>
      <c r="H93" t="s">
        <v>15</v>
      </c>
      <c r="I93" s="2">
        <v>45139</v>
      </c>
      <c r="J93">
        <v>539.45000000000005</v>
      </c>
      <c r="K93">
        <v>80</v>
      </c>
      <c r="L93" t="s">
        <v>20</v>
      </c>
      <c r="M93">
        <f t="shared" si="3"/>
        <v>0</v>
      </c>
      <c r="N93">
        <f t="shared" si="4"/>
        <v>0</v>
      </c>
      <c r="O93">
        <f t="shared" si="5"/>
        <v>0</v>
      </c>
    </row>
    <row r="94" spans="1:15" x14ac:dyDescent="0.2">
      <c r="A94" t="s">
        <v>23</v>
      </c>
      <c r="B94">
        <v>60565</v>
      </c>
      <c r="C94" t="s">
        <v>24</v>
      </c>
      <c r="D94" t="s">
        <v>22</v>
      </c>
      <c r="E94" s="3">
        <v>44756</v>
      </c>
      <c r="F94" t="s">
        <v>15</v>
      </c>
      <c r="G94" s="1"/>
      <c r="H94" t="s">
        <v>15</v>
      </c>
      <c r="I94" s="2">
        <v>45170</v>
      </c>
      <c r="J94">
        <v>750.38</v>
      </c>
      <c r="K94">
        <v>84.9</v>
      </c>
      <c r="L94" t="s">
        <v>20</v>
      </c>
      <c r="M94">
        <f t="shared" si="3"/>
        <v>0</v>
      </c>
      <c r="N94">
        <f t="shared" si="4"/>
        <v>0</v>
      </c>
      <c r="O94">
        <f t="shared" si="5"/>
        <v>0</v>
      </c>
    </row>
    <row r="95" spans="1:15" x14ac:dyDescent="0.2">
      <c r="A95" t="s">
        <v>23</v>
      </c>
      <c r="B95">
        <v>60565</v>
      </c>
      <c r="C95" t="s">
        <v>24</v>
      </c>
      <c r="D95" t="s">
        <v>22</v>
      </c>
      <c r="E95" s="3">
        <v>44756</v>
      </c>
      <c r="F95" t="s">
        <v>15</v>
      </c>
      <c r="G95" s="1"/>
      <c r="H95" t="s">
        <v>15</v>
      </c>
      <c r="I95" s="2">
        <v>45200</v>
      </c>
      <c r="J95">
        <v>484.61</v>
      </c>
      <c r="K95">
        <v>80.8</v>
      </c>
      <c r="L95" t="s">
        <v>20</v>
      </c>
      <c r="M95">
        <f t="shared" si="3"/>
        <v>0</v>
      </c>
      <c r="N95">
        <f t="shared" si="4"/>
        <v>0</v>
      </c>
      <c r="O95">
        <f t="shared" si="5"/>
        <v>0</v>
      </c>
    </row>
    <row r="96" spans="1:15" x14ac:dyDescent="0.2">
      <c r="A96" t="s">
        <v>23</v>
      </c>
      <c r="B96">
        <v>60565</v>
      </c>
      <c r="C96" t="s">
        <v>24</v>
      </c>
      <c r="D96" t="s">
        <v>22</v>
      </c>
      <c r="E96" s="3">
        <v>44756</v>
      </c>
      <c r="F96" t="s">
        <v>15</v>
      </c>
      <c r="G96" s="1"/>
      <c r="H96" t="s">
        <v>15</v>
      </c>
      <c r="I96" s="2">
        <v>45231</v>
      </c>
      <c r="J96">
        <v>770.72</v>
      </c>
      <c r="K96">
        <v>46.5</v>
      </c>
      <c r="L96" t="s">
        <v>16</v>
      </c>
      <c r="M96">
        <f t="shared" si="3"/>
        <v>0</v>
      </c>
      <c r="N96">
        <f t="shared" si="4"/>
        <v>0</v>
      </c>
      <c r="O96">
        <f t="shared" si="5"/>
        <v>0</v>
      </c>
    </row>
    <row r="97" spans="1:15" x14ac:dyDescent="0.2">
      <c r="A97" t="s">
        <v>23</v>
      </c>
      <c r="B97">
        <v>60565</v>
      </c>
      <c r="C97" t="s">
        <v>24</v>
      </c>
      <c r="D97" t="s">
        <v>22</v>
      </c>
      <c r="E97" s="3">
        <v>44756</v>
      </c>
      <c r="F97" t="s">
        <v>15</v>
      </c>
      <c r="G97" s="1"/>
      <c r="H97" t="s">
        <v>15</v>
      </c>
      <c r="I97" s="2">
        <v>45261</v>
      </c>
      <c r="J97">
        <v>797.03</v>
      </c>
      <c r="K97">
        <v>29.2</v>
      </c>
      <c r="L97" t="s">
        <v>19</v>
      </c>
      <c r="M97">
        <f t="shared" si="3"/>
        <v>0</v>
      </c>
      <c r="N97">
        <f t="shared" si="4"/>
        <v>0</v>
      </c>
      <c r="O97">
        <f t="shared" si="5"/>
        <v>0</v>
      </c>
    </row>
    <row r="98" spans="1:15" x14ac:dyDescent="0.2">
      <c r="A98" t="s">
        <v>25</v>
      </c>
      <c r="B98">
        <v>60565</v>
      </c>
      <c r="C98" t="s">
        <v>24</v>
      </c>
      <c r="D98" t="s">
        <v>18</v>
      </c>
      <c r="E98" s="3">
        <v>44654</v>
      </c>
      <c r="F98" t="s">
        <v>15</v>
      </c>
      <c r="G98" s="1"/>
      <c r="H98" t="s">
        <v>15</v>
      </c>
      <c r="I98" s="2">
        <v>44562</v>
      </c>
      <c r="J98">
        <v>763.86</v>
      </c>
      <c r="K98">
        <v>43</v>
      </c>
      <c r="L98" t="s">
        <v>16</v>
      </c>
      <c r="M98">
        <f t="shared" si="3"/>
        <v>0</v>
      </c>
      <c r="N98">
        <f t="shared" si="4"/>
        <v>0</v>
      </c>
      <c r="O98">
        <f t="shared" si="5"/>
        <v>0</v>
      </c>
    </row>
    <row r="99" spans="1:15" x14ac:dyDescent="0.2">
      <c r="A99" t="s">
        <v>25</v>
      </c>
      <c r="B99">
        <v>60565</v>
      </c>
      <c r="C99" t="s">
        <v>24</v>
      </c>
      <c r="D99" t="s">
        <v>18</v>
      </c>
      <c r="E99" s="3">
        <v>44654</v>
      </c>
      <c r="F99" t="s">
        <v>15</v>
      </c>
      <c r="G99" s="1"/>
      <c r="H99" t="s">
        <v>15</v>
      </c>
      <c r="I99" s="2">
        <v>44593</v>
      </c>
      <c r="J99">
        <v>754.99</v>
      </c>
      <c r="K99">
        <v>26.4</v>
      </c>
      <c r="L99" t="s">
        <v>19</v>
      </c>
      <c r="M99">
        <f t="shared" si="3"/>
        <v>0</v>
      </c>
      <c r="N99">
        <f t="shared" si="4"/>
        <v>0</v>
      </c>
      <c r="O99">
        <f t="shared" si="5"/>
        <v>0</v>
      </c>
    </row>
    <row r="100" spans="1:15" x14ac:dyDescent="0.2">
      <c r="A100" t="s">
        <v>25</v>
      </c>
      <c r="B100">
        <v>60565</v>
      </c>
      <c r="C100" t="s">
        <v>24</v>
      </c>
      <c r="D100" t="s">
        <v>18</v>
      </c>
      <c r="E100" s="3">
        <v>44654</v>
      </c>
      <c r="F100" t="s">
        <v>15</v>
      </c>
      <c r="G100" s="1"/>
      <c r="H100" t="s">
        <v>15</v>
      </c>
      <c r="I100" s="2">
        <v>44621</v>
      </c>
      <c r="J100">
        <v>745.37</v>
      </c>
      <c r="K100">
        <v>29.5</v>
      </c>
      <c r="L100" t="s">
        <v>19</v>
      </c>
      <c r="M100">
        <f t="shared" si="3"/>
        <v>0</v>
      </c>
      <c r="N100">
        <f t="shared" si="4"/>
        <v>0</v>
      </c>
      <c r="O100">
        <f t="shared" si="5"/>
        <v>0</v>
      </c>
    </row>
    <row r="101" spans="1:15" x14ac:dyDescent="0.2">
      <c r="A101" t="s">
        <v>25</v>
      </c>
      <c r="B101">
        <v>60565</v>
      </c>
      <c r="C101" t="s">
        <v>24</v>
      </c>
      <c r="D101" t="s">
        <v>18</v>
      </c>
      <c r="E101" s="3">
        <v>44654</v>
      </c>
      <c r="F101" t="s">
        <v>15</v>
      </c>
      <c r="G101" s="1"/>
      <c r="H101" t="s">
        <v>15</v>
      </c>
      <c r="I101" s="2">
        <v>44652</v>
      </c>
      <c r="J101">
        <v>898.11</v>
      </c>
      <c r="K101">
        <v>50.8</v>
      </c>
      <c r="L101" t="s">
        <v>16</v>
      </c>
      <c r="M101">
        <f t="shared" si="3"/>
        <v>0</v>
      </c>
      <c r="N101">
        <f t="shared" si="4"/>
        <v>0</v>
      </c>
      <c r="O101">
        <f t="shared" si="5"/>
        <v>0</v>
      </c>
    </row>
    <row r="102" spans="1:15" x14ac:dyDescent="0.2">
      <c r="A102" t="s">
        <v>25</v>
      </c>
      <c r="B102">
        <v>60565</v>
      </c>
      <c r="C102" t="s">
        <v>24</v>
      </c>
      <c r="D102" t="s">
        <v>18</v>
      </c>
      <c r="E102" s="3">
        <v>44654</v>
      </c>
      <c r="F102" t="s">
        <v>15</v>
      </c>
      <c r="G102" s="1"/>
      <c r="H102" t="s">
        <v>15</v>
      </c>
      <c r="I102" s="2">
        <v>44682</v>
      </c>
      <c r="J102">
        <v>871.23</v>
      </c>
      <c r="K102">
        <v>46.3</v>
      </c>
      <c r="L102" t="s">
        <v>16</v>
      </c>
      <c r="M102">
        <f t="shared" si="3"/>
        <v>0</v>
      </c>
      <c r="N102">
        <f t="shared" si="4"/>
        <v>0</v>
      </c>
      <c r="O102">
        <f t="shared" si="5"/>
        <v>0</v>
      </c>
    </row>
    <row r="103" spans="1:15" x14ac:dyDescent="0.2">
      <c r="A103" t="s">
        <v>25</v>
      </c>
      <c r="B103">
        <v>60565</v>
      </c>
      <c r="C103" t="s">
        <v>24</v>
      </c>
      <c r="D103" t="s">
        <v>18</v>
      </c>
      <c r="E103" s="3">
        <v>44654</v>
      </c>
      <c r="F103" t="s">
        <v>15</v>
      </c>
      <c r="G103" s="1"/>
      <c r="H103" t="s">
        <v>15</v>
      </c>
      <c r="I103" s="2">
        <v>44713</v>
      </c>
      <c r="J103">
        <v>812.02</v>
      </c>
      <c r="K103">
        <v>61.1</v>
      </c>
      <c r="L103" t="s">
        <v>16</v>
      </c>
      <c r="M103">
        <f t="shared" si="3"/>
        <v>0</v>
      </c>
      <c r="N103">
        <f t="shared" si="4"/>
        <v>0</v>
      </c>
      <c r="O103">
        <f t="shared" si="5"/>
        <v>0</v>
      </c>
    </row>
    <row r="104" spans="1:15" x14ac:dyDescent="0.2">
      <c r="A104" t="s">
        <v>25</v>
      </c>
      <c r="B104">
        <v>60565</v>
      </c>
      <c r="C104" t="s">
        <v>24</v>
      </c>
      <c r="D104" t="s">
        <v>18</v>
      </c>
      <c r="E104" s="3">
        <v>44654</v>
      </c>
      <c r="F104" t="s">
        <v>15</v>
      </c>
      <c r="G104" s="1"/>
      <c r="H104" t="s">
        <v>15</v>
      </c>
      <c r="I104" s="2">
        <v>44743</v>
      </c>
      <c r="J104">
        <v>727.78</v>
      </c>
      <c r="K104">
        <v>27.4</v>
      </c>
      <c r="L104" t="s">
        <v>19</v>
      </c>
      <c r="M104">
        <f t="shared" si="3"/>
        <v>0</v>
      </c>
      <c r="N104">
        <f t="shared" si="4"/>
        <v>0</v>
      </c>
      <c r="O104">
        <f t="shared" si="5"/>
        <v>0</v>
      </c>
    </row>
    <row r="105" spans="1:15" x14ac:dyDescent="0.2">
      <c r="A105" t="s">
        <v>25</v>
      </c>
      <c r="B105">
        <v>60565</v>
      </c>
      <c r="C105" t="s">
        <v>24</v>
      </c>
      <c r="D105" t="s">
        <v>18</v>
      </c>
      <c r="E105" s="3">
        <v>44654</v>
      </c>
      <c r="F105" t="s">
        <v>15</v>
      </c>
      <c r="G105" s="1"/>
      <c r="H105" t="s">
        <v>15</v>
      </c>
      <c r="I105" s="2">
        <v>44774</v>
      </c>
      <c r="J105">
        <v>1062.92</v>
      </c>
      <c r="K105">
        <v>54.2</v>
      </c>
      <c r="L105" t="s">
        <v>16</v>
      </c>
      <c r="M105">
        <f t="shared" si="3"/>
        <v>0</v>
      </c>
      <c r="N105">
        <f t="shared" si="4"/>
        <v>0</v>
      </c>
      <c r="O105">
        <f t="shared" si="5"/>
        <v>0</v>
      </c>
    </row>
    <row r="106" spans="1:15" x14ac:dyDescent="0.2">
      <c r="A106" t="s">
        <v>25</v>
      </c>
      <c r="B106">
        <v>60565</v>
      </c>
      <c r="C106" t="s">
        <v>24</v>
      </c>
      <c r="D106" t="s">
        <v>18</v>
      </c>
      <c r="E106" s="3">
        <v>44654</v>
      </c>
      <c r="F106" t="s">
        <v>15</v>
      </c>
      <c r="G106" s="1"/>
      <c r="H106" t="s">
        <v>15</v>
      </c>
      <c r="I106" s="2">
        <v>44805</v>
      </c>
      <c r="J106">
        <v>891.24</v>
      </c>
      <c r="K106">
        <v>41.9</v>
      </c>
      <c r="L106" t="s">
        <v>16</v>
      </c>
      <c r="M106">
        <f t="shared" si="3"/>
        <v>0</v>
      </c>
      <c r="N106">
        <f t="shared" si="4"/>
        <v>0</v>
      </c>
      <c r="O106">
        <f t="shared" si="5"/>
        <v>0</v>
      </c>
    </row>
    <row r="107" spans="1:15" x14ac:dyDescent="0.2">
      <c r="A107" t="s">
        <v>25</v>
      </c>
      <c r="B107">
        <v>60565</v>
      </c>
      <c r="C107" t="s">
        <v>24</v>
      </c>
      <c r="D107" t="s">
        <v>18</v>
      </c>
      <c r="E107" s="3">
        <v>44654</v>
      </c>
      <c r="F107" t="s">
        <v>15</v>
      </c>
      <c r="G107" s="1"/>
      <c r="H107" t="s">
        <v>15</v>
      </c>
      <c r="I107" s="2">
        <v>44835</v>
      </c>
      <c r="J107">
        <v>640.23</v>
      </c>
      <c r="K107">
        <v>74.099999999999994</v>
      </c>
      <c r="L107" t="s">
        <v>20</v>
      </c>
      <c r="M107">
        <f t="shared" si="3"/>
        <v>0</v>
      </c>
      <c r="N107">
        <f t="shared" si="4"/>
        <v>0</v>
      </c>
      <c r="O107">
        <f t="shared" si="5"/>
        <v>0</v>
      </c>
    </row>
    <row r="108" spans="1:15" x14ac:dyDescent="0.2">
      <c r="A108" t="s">
        <v>25</v>
      </c>
      <c r="B108">
        <v>60565</v>
      </c>
      <c r="C108" t="s">
        <v>24</v>
      </c>
      <c r="D108" t="s">
        <v>18</v>
      </c>
      <c r="E108" s="3">
        <v>44654</v>
      </c>
      <c r="F108" t="s">
        <v>15</v>
      </c>
      <c r="G108" s="1"/>
      <c r="H108" t="s">
        <v>15</v>
      </c>
      <c r="I108" s="2">
        <v>44866</v>
      </c>
      <c r="J108">
        <v>748.37</v>
      </c>
      <c r="K108">
        <v>42.6</v>
      </c>
      <c r="L108" t="s">
        <v>16</v>
      </c>
      <c r="M108">
        <f t="shared" si="3"/>
        <v>0</v>
      </c>
      <c r="N108">
        <f t="shared" si="4"/>
        <v>0</v>
      </c>
      <c r="O108">
        <f t="shared" si="5"/>
        <v>0</v>
      </c>
    </row>
    <row r="109" spans="1:15" x14ac:dyDescent="0.2">
      <c r="A109" t="s">
        <v>25</v>
      </c>
      <c r="B109">
        <v>60565</v>
      </c>
      <c r="C109" t="s">
        <v>24</v>
      </c>
      <c r="D109" t="s">
        <v>18</v>
      </c>
      <c r="E109" s="3">
        <v>44654</v>
      </c>
      <c r="F109" t="s">
        <v>15</v>
      </c>
      <c r="G109" s="1"/>
      <c r="H109" t="s">
        <v>15</v>
      </c>
      <c r="I109" s="2">
        <v>44896</v>
      </c>
      <c r="J109">
        <v>893.18</v>
      </c>
      <c r="K109">
        <v>52.3</v>
      </c>
      <c r="L109" t="s">
        <v>16</v>
      </c>
      <c r="M109">
        <f t="shared" si="3"/>
        <v>0</v>
      </c>
      <c r="N109">
        <f t="shared" si="4"/>
        <v>0</v>
      </c>
      <c r="O109">
        <f t="shared" si="5"/>
        <v>0</v>
      </c>
    </row>
    <row r="110" spans="1:15" x14ac:dyDescent="0.2">
      <c r="A110" t="s">
        <v>25</v>
      </c>
      <c r="B110">
        <v>60565</v>
      </c>
      <c r="C110" t="s">
        <v>24</v>
      </c>
      <c r="D110" t="s">
        <v>18</v>
      </c>
      <c r="E110" s="3">
        <v>44654</v>
      </c>
      <c r="F110" t="s">
        <v>15</v>
      </c>
      <c r="G110" s="1"/>
      <c r="H110" t="s">
        <v>15</v>
      </c>
      <c r="I110" s="2">
        <v>44927</v>
      </c>
      <c r="J110">
        <v>620.04999999999995</v>
      </c>
      <c r="K110">
        <v>76.2</v>
      </c>
      <c r="L110" t="s">
        <v>20</v>
      </c>
      <c r="M110">
        <f t="shared" si="3"/>
        <v>0</v>
      </c>
      <c r="N110">
        <f t="shared" si="4"/>
        <v>0</v>
      </c>
      <c r="O110">
        <f t="shared" si="5"/>
        <v>0</v>
      </c>
    </row>
    <row r="111" spans="1:15" x14ac:dyDescent="0.2">
      <c r="A111" t="s">
        <v>25</v>
      </c>
      <c r="B111">
        <v>60565</v>
      </c>
      <c r="C111" t="s">
        <v>24</v>
      </c>
      <c r="D111" t="s">
        <v>18</v>
      </c>
      <c r="E111" s="3">
        <v>44654</v>
      </c>
      <c r="F111" t="s">
        <v>15</v>
      </c>
      <c r="G111" s="1"/>
      <c r="H111" t="s">
        <v>15</v>
      </c>
      <c r="I111" s="2">
        <v>44958</v>
      </c>
      <c r="J111">
        <v>735.15</v>
      </c>
      <c r="K111">
        <v>73.7</v>
      </c>
      <c r="L111" t="s">
        <v>20</v>
      </c>
      <c r="M111">
        <f t="shared" si="3"/>
        <v>0</v>
      </c>
      <c r="N111">
        <f t="shared" si="4"/>
        <v>0</v>
      </c>
      <c r="O111">
        <f t="shared" si="5"/>
        <v>0</v>
      </c>
    </row>
    <row r="112" spans="1:15" x14ac:dyDescent="0.2">
      <c r="A112" t="s">
        <v>25</v>
      </c>
      <c r="B112">
        <v>60565</v>
      </c>
      <c r="C112" t="s">
        <v>24</v>
      </c>
      <c r="D112" t="s">
        <v>18</v>
      </c>
      <c r="E112" s="3">
        <v>44654</v>
      </c>
      <c r="F112" t="s">
        <v>15</v>
      </c>
      <c r="G112" s="1"/>
      <c r="H112" t="s">
        <v>15</v>
      </c>
      <c r="I112" s="2">
        <v>44986</v>
      </c>
      <c r="J112">
        <v>795.08</v>
      </c>
      <c r="K112">
        <v>52.8</v>
      </c>
      <c r="L112" t="s">
        <v>16</v>
      </c>
      <c r="M112">
        <f t="shared" si="3"/>
        <v>0</v>
      </c>
      <c r="N112">
        <f t="shared" si="4"/>
        <v>0</v>
      </c>
      <c r="O112">
        <f t="shared" si="5"/>
        <v>0</v>
      </c>
    </row>
    <row r="113" spans="1:15" x14ac:dyDescent="0.2">
      <c r="A113" t="s">
        <v>25</v>
      </c>
      <c r="B113">
        <v>60565</v>
      </c>
      <c r="C113" t="s">
        <v>24</v>
      </c>
      <c r="D113" t="s">
        <v>18</v>
      </c>
      <c r="E113" s="3">
        <v>44654</v>
      </c>
      <c r="F113" t="s">
        <v>15</v>
      </c>
      <c r="G113" s="1"/>
      <c r="H113" t="s">
        <v>15</v>
      </c>
      <c r="I113" s="2">
        <v>45017</v>
      </c>
      <c r="J113">
        <v>361.16</v>
      </c>
      <c r="K113">
        <v>103.1</v>
      </c>
      <c r="L113" t="s">
        <v>20</v>
      </c>
      <c r="M113">
        <f t="shared" si="3"/>
        <v>0</v>
      </c>
      <c r="N113">
        <f t="shared" si="4"/>
        <v>0</v>
      </c>
      <c r="O113">
        <f t="shared" si="5"/>
        <v>0</v>
      </c>
    </row>
    <row r="114" spans="1:15" x14ac:dyDescent="0.2">
      <c r="A114" t="s">
        <v>25</v>
      </c>
      <c r="B114">
        <v>60565</v>
      </c>
      <c r="C114" t="s">
        <v>24</v>
      </c>
      <c r="D114" t="s">
        <v>18</v>
      </c>
      <c r="E114" s="3">
        <v>44654</v>
      </c>
      <c r="F114" t="s">
        <v>15</v>
      </c>
      <c r="G114" s="1"/>
      <c r="H114" t="s">
        <v>15</v>
      </c>
      <c r="I114" s="2">
        <v>45047</v>
      </c>
      <c r="J114">
        <v>689.2</v>
      </c>
      <c r="K114">
        <v>40.6</v>
      </c>
      <c r="L114" t="s">
        <v>16</v>
      </c>
      <c r="M114">
        <f t="shared" si="3"/>
        <v>0</v>
      </c>
      <c r="N114">
        <f t="shared" si="4"/>
        <v>0</v>
      </c>
      <c r="O114">
        <f t="shared" si="5"/>
        <v>0</v>
      </c>
    </row>
    <row r="115" spans="1:15" x14ac:dyDescent="0.2">
      <c r="A115" t="s">
        <v>25</v>
      </c>
      <c r="B115">
        <v>60565</v>
      </c>
      <c r="C115" t="s">
        <v>24</v>
      </c>
      <c r="D115" t="s">
        <v>18</v>
      </c>
      <c r="E115" s="3">
        <v>44654</v>
      </c>
      <c r="F115" t="s">
        <v>15</v>
      </c>
      <c r="G115" s="1"/>
      <c r="H115" t="s">
        <v>15</v>
      </c>
      <c r="I115" s="2">
        <v>45078</v>
      </c>
      <c r="J115">
        <v>693.12</v>
      </c>
      <c r="K115">
        <v>76</v>
      </c>
      <c r="L115" t="s">
        <v>20</v>
      </c>
      <c r="M115">
        <f t="shared" si="3"/>
        <v>0</v>
      </c>
      <c r="N115">
        <f t="shared" si="4"/>
        <v>0</v>
      </c>
      <c r="O115">
        <f t="shared" si="5"/>
        <v>0</v>
      </c>
    </row>
    <row r="116" spans="1:15" x14ac:dyDescent="0.2">
      <c r="A116" t="s">
        <v>25</v>
      </c>
      <c r="B116">
        <v>60565</v>
      </c>
      <c r="C116" t="s">
        <v>24</v>
      </c>
      <c r="D116" t="s">
        <v>18</v>
      </c>
      <c r="E116" s="3">
        <v>44654</v>
      </c>
      <c r="F116" t="s">
        <v>15</v>
      </c>
      <c r="G116" s="1"/>
      <c r="H116" t="s">
        <v>15</v>
      </c>
      <c r="I116" s="2">
        <v>45108</v>
      </c>
      <c r="J116">
        <v>658.79</v>
      </c>
      <c r="K116">
        <v>38.9</v>
      </c>
      <c r="L116" t="s">
        <v>19</v>
      </c>
      <c r="M116">
        <f t="shared" si="3"/>
        <v>0</v>
      </c>
      <c r="N116">
        <f t="shared" si="4"/>
        <v>0</v>
      </c>
      <c r="O116">
        <f t="shared" si="5"/>
        <v>0</v>
      </c>
    </row>
    <row r="117" spans="1:15" x14ac:dyDescent="0.2">
      <c r="A117" t="s">
        <v>25</v>
      </c>
      <c r="B117">
        <v>60565</v>
      </c>
      <c r="C117" t="s">
        <v>24</v>
      </c>
      <c r="D117" t="s">
        <v>18</v>
      </c>
      <c r="E117" s="3">
        <v>44654</v>
      </c>
      <c r="F117" t="s">
        <v>15</v>
      </c>
      <c r="G117" s="1"/>
      <c r="H117" t="s">
        <v>15</v>
      </c>
      <c r="I117" s="2">
        <v>45139</v>
      </c>
      <c r="J117">
        <v>730.17</v>
      </c>
      <c r="K117">
        <v>80</v>
      </c>
      <c r="L117" t="s">
        <v>20</v>
      </c>
      <c r="M117">
        <f t="shared" si="3"/>
        <v>0</v>
      </c>
      <c r="N117">
        <f t="shared" si="4"/>
        <v>0</v>
      </c>
      <c r="O117">
        <f t="shared" si="5"/>
        <v>0</v>
      </c>
    </row>
    <row r="118" spans="1:15" x14ac:dyDescent="0.2">
      <c r="A118" t="s">
        <v>25</v>
      </c>
      <c r="B118">
        <v>60565</v>
      </c>
      <c r="C118" t="s">
        <v>24</v>
      </c>
      <c r="D118" t="s">
        <v>18</v>
      </c>
      <c r="E118" s="3">
        <v>44654</v>
      </c>
      <c r="F118" t="s">
        <v>15</v>
      </c>
      <c r="G118" s="1"/>
      <c r="H118" t="s">
        <v>15</v>
      </c>
      <c r="I118" s="2">
        <v>45170</v>
      </c>
      <c r="J118">
        <v>765.75</v>
      </c>
      <c r="K118">
        <v>84.9</v>
      </c>
      <c r="L118" t="s">
        <v>20</v>
      </c>
      <c r="M118">
        <f t="shared" si="3"/>
        <v>0</v>
      </c>
      <c r="N118">
        <f t="shared" si="4"/>
        <v>0</v>
      </c>
      <c r="O118">
        <f t="shared" si="5"/>
        <v>0</v>
      </c>
    </row>
    <row r="119" spans="1:15" x14ac:dyDescent="0.2">
      <c r="A119" t="s">
        <v>25</v>
      </c>
      <c r="B119">
        <v>60565</v>
      </c>
      <c r="C119" t="s">
        <v>24</v>
      </c>
      <c r="D119" t="s">
        <v>18</v>
      </c>
      <c r="E119" s="3">
        <v>44654</v>
      </c>
      <c r="F119" t="s">
        <v>15</v>
      </c>
      <c r="G119" s="1"/>
      <c r="H119" t="s">
        <v>15</v>
      </c>
      <c r="I119" s="2">
        <v>45200</v>
      </c>
      <c r="J119">
        <v>714.21</v>
      </c>
      <c r="K119">
        <v>80.8</v>
      </c>
      <c r="L119" t="s">
        <v>20</v>
      </c>
      <c r="M119">
        <f t="shared" si="3"/>
        <v>0</v>
      </c>
      <c r="N119">
        <f t="shared" si="4"/>
        <v>0</v>
      </c>
      <c r="O119">
        <f t="shared" si="5"/>
        <v>0</v>
      </c>
    </row>
    <row r="120" spans="1:15" x14ac:dyDescent="0.2">
      <c r="A120" t="s">
        <v>25</v>
      </c>
      <c r="B120">
        <v>60565</v>
      </c>
      <c r="C120" t="s">
        <v>24</v>
      </c>
      <c r="D120" t="s">
        <v>18</v>
      </c>
      <c r="E120" s="3">
        <v>44654</v>
      </c>
      <c r="F120" t="s">
        <v>15</v>
      </c>
      <c r="G120" s="1"/>
      <c r="H120" t="s">
        <v>15</v>
      </c>
      <c r="I120" s="2">
        <v>45231</v>
      </c>
      <c r="J120">
        <v>662.62</v>
      </c>
      <c r="K120">
        <v>46.5</v>
      </c>
      <c r="L120" t="s">
        <v>16</v>
      </c>
      <c r="M120">
        <f t="shared" si="3"/>
        <v>0</v>
      </c>
      <c r="N120">
        <f t="shared" si="4"/>
        <v>0</v>
      </c>
      <c r="O120">
        <f t="shared" si="5"/>
        <v>0</v>
      </c>
    </row>
    <row r="121" spans="1:15" x14ac:dyDescent="0.2">
      <c r="A121" t="s">
        <v>25</v>
      </c>
      <c r="B121">
        <v>60565</v>
      </c>
      <c r="C121" t="s">
        <v>24</v>
      </c>
      <c r="D121" t="s">
        <v>18</v>
      </c>
      <c r="E121" s="3">
        <v>44654</v>
      </c>
      <c r="F121" t="s">
        <v>15</v>
      </c>
      <c r="G121" s="1"/>
      <c r="H121" t="s">
        <v>15</v>
      </c>
      <c r="I121" s="2">
        <v>45261</v>
      </c>
      <c r="J121">
        <v>763.26</v>
      </c>
      <c r="K121">
        <v>29.2</v>
      </c>
      <c r="L121" t="s">
        <v>19</v>
      </c>
      <c r="M121">
        <f t="shared" si="3"/>
        <v>0</v>
      </c>
      <c r="N121">
        <f t="shared" si="4"/>
        <v>0</v>
      </c>
      <c r="O121">
        <f t="shared" si="5"/>
        <v>0</v>
      </c>
    </row>
    <row r="122" spans="1:15" x14ac:dyDescent="0.2">
      <c r="A122" t="s">
        <v>26</v>
      </c>
      <c r="B122">
        <v>60563</v>
      </c>
      <c r="C122" t="s">
        <v>24</v>
      </c>
      <c r="D122" t="s">
        <v>22</v>
      </c>
      <c r="E122" s="3">
        <v>44728</v>
      </c>
      <c r="F122" t="s">
        <v>15</v>
      </c>
      <c r="G122" s="1"/>
      <c r="H122" t="s">
        <v>15</v>
      </c>
      <c r="I122" s="2">
        <v>44562</v>
      </c>
      <c r="J122">
        <v>724.04</v>
      </c>
      <c r="K122">
        <v>43</v>
      </c>
      <c r="L122" t="s">
        <v>16</v>
      </c>
      <c r="M122">
        <f t="shared" si="3"/>
        <v>0</v>
      </c>
      <c r="N122">
        <f t="shared" si="4"/>
        <v>0</v>
      </c>
      <c r="O122">
        <f t="shared" si="5"/>
        <v>0</v>
      </c>
    </row>
    <row r="123" spans="1:15" x14ac:dyDescent="0.2">
      <c r="A123" t="s">
        <v>27</v>
      </c>
      <c r="B123">
        <v>60563</v>
      </c>
      <c r="C123" t="s">
        <v>28</v>
      </c>
      <c r="D123" t="s">
        <v>14</v>
      </c>
      <c r="E123" s="3">
        <v>44606</v>
      </c>
      <c r="F123" t="s">
        <v>15</v>
      </c>
      <c r="G123" s="1"/>
      <c r="H123" t="s">
        <v>15</v>
      </c>
      <c r="I123" s="2">
        <v>44562</v>
      </c>
      <c r="J123">
        <v>758.41</v>
      </c>
      <c r="K123">
        <v>43</v>
      </c>
      <c r="L123" t="s">
        <v>16</v>
      </c>
      <c r="M123">
        <f t="shared" si="3"/>
        <v>0</v>
      </c>
      <c r="N123">
        <f t="shared" si="4"/>
        <v>0</v>
      </c>
      <c r="O123">
        <f t="shared" si="5"/>
        <v>0</v>
      </c>
    </row>
    <row r="124" spans="1:15" x14ac:dyDescent="0.2">
      <c r="A124" t="s">
        <v>26</v>
      </c>
      <c r="B124">
        <v>60563</v>
      </c>
      <c r="C124" t="s">
        <v>24</v>
      </c>
      <c r="D124" t="s">
        <v>22</v>
      </c>
      <c r="E124" s="3">
        <v>44728</v>
      </c>
      <c r="F124" t="s">
        <v>15</v>
      </c>
      <c r="G124" s="1"/>
      <c r="H124" t="s">
        <v>15</v>
      </c>
      <c r="I124" s="2">
        <v>44593</v>
      </c>
      <c r="J124">
        <v>799.66</v>
      </c>
      <c r="K124">
        <v>26.4</v>
      </c>
      <c r="L124" t="s">
        <v>19</v>
      </c>
      <c r="M124">
        <f t="shared" si="3"/>
        <v>0</v>
      </c>
      <c r="N124">
        <f t="shared" si="4"/>
        <v>0</v>
      </c>
      <c r="O124">
        <f t="shared" si="5"/>
        <v>0</v>
      </c>
    </row>
    <row r="125" spans="1:15" x14ac:dyDescent="0.2">
      <c r="A125" t="s">
        <v>27</v>
      </c>
      <c r="B125">
        <v>60563</v>
      </c>
      <c r="C125" t="s">
        <v>28</v>
      </c>
      <c r="D125" t="s">
        <v>14</v>
      </c>
      <c r="E125" s="3">
        <v>44606</v>
      </c>
      <c r="F125" t="s">
        <v>15</v>
      </c>
      <c r="G125" s="1"/>
      <c r="H125" t="s">
        <v>15</v>
      </c>
      <c r="I125" s="2">
        <v>44593</v>
      </c>
      <c r="J125">
        <v>789.6</v>
      </c>
      <c r="K125">
        <v>26.4</v>
      </c>
      <c r="L125" t="s">
        <v>19</v>
      </c>
      <c r="M125">
        <f t="shared" si="3"/>
        <v>0</v>
      </c>
      <c r="N125">
        <f t="shared" si="4"/>
        <v>0</v>
      </c>
      <c r="O125">
        <f t="shared" si="5"/>
        <v>0</v>
      </c>
    </row>
    <row r="126" spans="1:15" x14ac:dyDescent="0.2">
      <c r="A126" t="s">
        <v>26</v>
      </c>
      <c r="B126">
        <v>60563</v>
      </c>
      <c r="C126" t="s">
        <v>24</v>
      </c>
      <c r="D126" t="s">
        <v>22</v>
      </c>
      <c r="E126" s="3">
        <v>44728</v>
      </c>
      <c r="F126" t="s">
        <v>15</v>
      </c>
      <c r="G126" s="1"/>
      <c r="H126" t="s">
        <v>15</v>
      </c>
      <c r="I126" s="2">
        <v>44621</v>
      </c>
      <c r="J126">
        <v>793.1</v>
      </c>
      <c r="K126">
        <v>29.5</v>
      </c>
      <c r="L126" t="s">
        <v>19</v>
      </c>
      <c r="M126">
        <f t="shared" si="3"/>
        <v>0</v>
      </c>
      <c r="N126">
        <f t="shared" si="4"/>
        <v>0</v>
      </c>
      <c r="O126">
        <f t="shared" si="5"/>
        <v>0</v>
      </c>
    </row>
    <row r="127" spans="1:15" x14ac:dyDescent="0.2">
      <c r="A127" t="s">
        <v>27</v>
      </c>
      <c r="B127">
        <v>60563</v>
      </c>
      <c r="C127" t="s">
        <v>28</v>
      </c>
      <c r="D127" t="s">
        <v>14</v>
      </c>
      <c r="E127" s="3">
        <v>44606</v>
      </c>
      <c r="F127" t="s">
        <v>15</v>
      </c>
      <c r="G127" s="1"/>
      <c r="H127" t="s">
        <v>15</v>
      </c>
      <c r="I127" s="2">
        <v>44621</v>
      </c>
      <c r="J127">
        <v>851.53</v>
      </c>
      <c r="K127">
        <v>29.5</v>
      </c>
      <c r="L127" t="s">
        <v>19</v>
      </c>
      <c r="M127">
        <f t="shared" si="3"/>
        <v>0</v>
      </c>
      <c r="N127">
        <f t="shared" si="4"/>
        <v>0</v>
      </c>
      <c r="O127">
        <f t="shared" si="5"/>
        <v>0</v>
      </c>
    </row>
    <row r="128" spans="1:15" x14ac:dyDescent="0.2">
      <c r="A128" t="s">
        <v>26</v>
      </c>
      <c r="B128">
        <v>60563</v>
      </c>
      <c r="C128" t="s">
        <v>24</v>
      </c>
      <c r="D128" t="s">
        <v>22</v>
      </c>
      <c r="E128" s="3">
        <v>44728</v>
      </c>
      <c r="F128" t="s">
        <v>15</v>
      </c>
      <c r="G128" s="1"/>
      <c r="H128" t="s">
        <v>15</v>
      </c>
      <c r="I128" s="2">
        <v>44652</v>
      </c>
      <c r="J128">
        <v>542.17999999999995</v>
      </c>
      <c r="K128">
        <v>50.8</v>
      </c>
      <c r="L128" t="s">
        <v>16</v>
      </c>
      <c r="M128">
        <f t="shared" si="3"/>
        <v>0</v>
      </c>
      <c r="N128">
        <f t="shared" si="4"/>
        <v>0</v>
      </c>
      <c r="O128">
        <f t="shared" si="5"/>
        <v>0</v>
      </c>
    </row>
    <row r="129" spans="1:15" x14ac:dyDescent="0.2">
      <c r="A129" t="s">
        <v>27</v>
      </c>
      <c r="B129">
        <v>60563</v>
      </c>
      <c r="C129" t="s">
        <v>28</v>
      </c>
      <c r="D129" t="s">
        <v>14</v>
      </c>
      <c r="E129" s="3">
        <v>44606</v>
      </c>
      <c r="F129" t="s">
        <v>15</v>
      </c>
      <c r="G129" s="1"/>
      <c r="H129" t="s">
        <v>15</v>
      </c>
      <c r="I129" s="2">
        <v>44652</v>
      </c>
      <c r="J129">
        <v>919.42</v>
      </c>
      <c r="K129">
        <v>50.8</v>
      </c>
      <c r="L129" t="s">
        <v>16</v>
      </c>
      <c r="M129">
        <f t="shared" si="3"/>
        <v>0</v>
      </c>
      <c r="N129">
        <f t="shared" si="4"/>
        <v>0</v>
      </c>
      <c r="O129">
        <f t="shared" si="5"/>
        <v>0</v>
      </c>
    </row>
    <row r="130" spans="1:15" x14ac:dyDescent="0.2">
      <c r="A130" t="s">
        <v>26</v>
      </c>
      <c r="B130">
        <v>60563</v>
      </c>
      <c r="C130" t="s">
        <v>24</v>
      </c>
      <c r="D130" t="s">
        <v>22</v>
      </c>
      <c r="E130" s="3">
        <v>44728</v>
      </c>
      <c r="F130" t="s">
        <v>15</v>
      </c>
      <c r="G130" s="1"/>
      <c r="H130" t="s">
        <v>15</v>
      </c>
      <c r="I130" s="2">
        <v>44682</v>
      </c>
      <c r="J130">
        <v>743.86</v>
      </c>
      <c r="K130">
        <v>46.3</v>
      </c>
      <c r="L130" t="s">
        <v>16</v>
      </c>
      <c r="M130">
        <f t="shared" ref="M130:M193" si="6">SUMIFS(J130,I130, "&lt;" &amp;G130,I130,"&lt;&gt;",G130,"&lt;&gt;")</f>
        <v>0</v>
      </c>
      <c r="N130">
        <f t="shared" ref="N130:N193" si="7">SUMIFS(J130,I130, "&gt;=" &amp;G130,I130,"&lt;&gt;",G130,"&lt;&gt;")</f>
        <v>0</v>
      </c>
      <c r="O130">
        <f t="shared" ref="O130:O193" si="8">SUM(M130-N130)</f>
        <v>0</v>
      </c>
    </row>
    <row r="131" spans="1:15" x14ac:dyDescent="0.2">
      <c r="A131" t="s">
        <v>27</v>
      </c>
      <c r="B131">
        <v>60563</v>
      </c>
      <c r="C131" t="s">
        <v>28</v>
      </c>
      <c r="D131" t="s">
        <v>14</v>
      </c>
      <c r="E131" s="3">
        <v>44606</v>
      </c>
      <c r="F131" t="s">
        <v>15</v>
      </c>
      <c r="G131" s="1"/>
      <c r="H131" t="s">
        <v>15</v>
      </c>
      <c r="I131" s="2">
        <v>44682</v>
      </c>
      <c r="J131">
        <v>809.65</v>
      </c>
      <c r="K131">
        <v>46.3</v>
      </c>
      <c r="L131" t="s">
        <v>16</v>
      </c>
      <c r="M131">
        <f t="shared" si="6"/>
        <v>0</v>
      </c>
      <c r="N131">
        <f t="shared" si="7"/>
        <v>0</v>
      </c>
      <c r="O131">
        <f t="shared" si="8"/>
        <v>0</v>
      </c>
    </row>
    <row r="132" spans="1:15" x14ac:dyDescent="0.2">
      <c r="A132" t="s">
        <v>26</v>
      </c>
      <c r="B132">
        <v>60563</v>
      </c>
      <c r="C132" t="s">
        <v>24</v>
      </c>
      <c r="D132" t="s">
        <v>22</v>
      </c>
      <c r="E132" s="3">
        <v>44728</v>
      </c>
      <c r="F132" t="s">
        <v>15</v>
      </c>
      <c r="G132" s="1"/>
      <c r="H132" t="s">
        <v>15</v>
      </c>
      <c r="I132" s="2">
        <v>44713</v>
      </c>
      <c r="J132">
        <v>831.42</v>
      </c>
      <c r="K132">
        <v>61.1</v>
      </c>
      <c r="L132" t="s">
        <v>16</v>
      </c>
      <c r="M132">
        <f t="shared" si="6"/>
        <v>0</v>
      </c>
      <c r="N132">
        <f t="shared" si="7"/>
        <v>0</v>
      </c>
      <c r="O132">
        <f t="shared" si="8"/>
        <v>0</v>
      </c>
    </row>
    <row r="133" spans="1:15" x14ac:dyDescent="0.2">
      <c r="A133" t="s">
        <v>27</v>
      </c>
      <c r="B133">
        <v>60563</v>
      </c>
      <c r="C133" t="s">
        <v>28</v>
      </c>
      <c r="D133" t="s">
        <v>14</v>
      </c>
      <c r="E133" s="3">
        <v>44606</v>
      </c>
      <c r="F133" t="s">
        <v>15</v>
      </c>
      <c r="G133" s="1"/>
      <c r="H133" t="s">
        <v>15</v>
      </c>
      <c r="I133" s="2">
        <v>44713</v>
      </c>
      <c r="J133">
        <v>650.02</v>
      </c>
      <c r="K133">
        <v>61.1</v>
      </c>
      <c r="L133" t="s">
        <v>16</v>
      </c>
      <c r="M133">
        <f t="shared" si="6"/>
        <v>0</v>
      </c>
      <c r="N133">
        <f t="shared" si="7"/>
        <v>0</v>
      </c>
      <c r="O133">
        <f t="shared" si="8"/>
        <v>0</v>
      </c>
    </row>
    <row r="134" spans="1:15" x14ac:dyDescent="0.2">
      <c r="A134" t="s">
        <v>26</v>
      </c>
      <c r="B134">
        <v>60563</v>
      </c>
      <c r="C134" t="s">
        <v>24</v>
      </c>
      <c r="D134" t="s">
        <v>22</v>
      </c>
      <c r="E134" s="3">
        <v>44728</v>
      </c>
      <c r="F134" t="s">
        <v>15</v>
      </c>
      <c r="G134" s="1"/>
      <c r="H134" t="s">
        <v>15</v>
      </c>
      <c r="I134" s="2">
        <v>44743</v>
      </c>
      <c r="J134">
        <v>757.58</v>
      </c>
      <c r="K134">
        <v>27.4</v>
      </c>
      <c r="L134" t="s">
        <v>19</v>
      </c>
      <c r="M134">
        <f t="shared" si="6"/>
        <v>0</v>
      </c>
      <c r="N134">
        <f t="shared" si="7"/>
        <v>0</v>
      </c>
      <c r="O134">
        <f t="shared" si="8"/>
        <v>0</v>
      </c>
    </row>
    <row r="135" spans="1:15" x14ac:dyDescent="0.2">
      <c r="A135" t="s">
        <v>27</v>
      </c>
      <c r="B135">
        <v>60563</v>
      </c>
      <c r="C135" t="s">
        <v>28</v>
      </c>
      <c r="D135" t="s">
        <v>14</v>
      </c>
      <c r="E135" s="3">
        <v>44606</v>
      </c>
      <c r="F135" t="s">
        <v>15</v>
      </c>
      <c r="G135" s="1"/>
      <c r="H135" t="s">
        <v>15</v>
      </c>
      <c r="I135" s="2">
        <v>44743</v>
      </c>
      <c r="J135">
        <v>863.14</v>
      </c>
      <c r="K135">
        <v>27.4</v>
      </c>
      <c r="L135" t="s">
        <v>19</v>
      </c>
      <c r="M135">
        <f t="shared" si="6"/>
        <v>0</v>
      </c>
      <c r="N135">
        <f t="shared" si="7"/>
        <v>0</v>
      </c>
      <c r="O135">
        <f t="shared" si="8"/>
        <v>0</v>
      </c>
    </row>
    <row r="136" spans="1:15" x14ac:dyDescent="0.2">
      <c r="A136" t="s">
        <v>26</v>
      </c>
      <c r="B136">
        <v>60563</v>
      </c>
      <c r="C136" t="s">
        <v>24</v>
      </c>
      <c r="D136" t="s">
        <v>22</v>
      </c>
      <c r="E136" s="3">
        <v>44728</v>
      </c>
      <c r="F136" t="s">
        <v>15</v>
      </c>
      <c r="G136" s="1"/>
      <c r="H136" t="s">
        <v>15</v>
      </c>
      <c r="I136" s="2">
        <v>44774</v>
      </c>
      <c r="J136">
        <v>735.38</v>
      </c>
      <c r="K136">
        <v>54.2</v>
      </c>
      <c r="L136" t="s">
        <v>16</v>
      </c>
      <c r="M136">
        <f t="shared" si="6"/>
        <v>0</v>
      </c>
      <c r="N136">
        <f t="shared" si="7"/>
        <v>0</v>
      </c>
      <c r="O136">
        <f t="shared" si="8"/>
        <v>0</v>
      </c>
    </row>
    <row r="137" spans="1:15" x14ac:dyDescent="0.2">
      <c r="A137" t="s">
        <v>27</v>
      </c>
      <c r="B137">
        <v>60563</v>
      </c>
      <c r="C137" t="s">
        <v>28</v>
      </c>
      <c r="D137" t="s">
        <v>14</v>
      </c>
      <c r="E137" s="3">
        <v>44606</v>
      </c>
      <c r="F137" t="s">
        <v>15</v>
      </c>
      <c r="G137" s="1"/>
      <c r="H137" t="s">
        <v>15</v>
      </c>
      <c r="I137" s="2">
        <v>44774</v>
      </c>
      <c r="J137">
        <v>1045.3800000000001</v>
      </c>
      <c r="K137">
        <v>54.2</v>
      </c>
      <c r="L137" t="s">
        <v>16</v>
      </c>
      <c r="M137">
        <f t="shared" si="6"/>
        <v>0</v>
      </c>
      <c r="N137">
        <f t="shared" si="7"/>
        <v>0</v>
      </c>
      <c r="O137">
        <f t="shared" si="8"/>
        <v>0</v>
      </c>
    </row>
    <row r="138" spans="1:15" x14ac:dyDescent="0.2">
      <c r="A138" t="s">
        <v>26</v>
      </c>
      <c r="B138">
        <v>60563</v>
      </c>
      <c r="C138" t="s">
        <v>24</v>
      </c>
      <c r="D138" t="s">
        <v>22</v>
      </c>
      <c r="E138" s="3">
        <v>44728</v>
      </c>
      <c r="F138" t="s">
        <v>15</v>
      </c>
      <c r="G138" s="1"/>
      <c r="H138" t="s">
        <v>15</v>
      </c>
      <c r="I138" s="2">
        <v>44805</v>
      </c>
      <c r="J138">
        <v>891.14</v>
      </c>
      <c r="K138">
        <v>41.9</v>
      </c>
      <c r="L138" t="s">
        <v>16</v>
      </c>
      <c r="M138">
        <f t="shared" si="6"/>
        <v>0</v>
      </c>
      <c r="N138">
        <f t="shared" si="7"/>
        <v>0</v>
      </c>
      <c r="O138">
        <f t="shared" si="8"/>
        <v>0</v>
      </c>
    </row>
    <row r="139" spans="1:15" x14ac:dyDescent="0.2">
      <c r="A139" t="s">
        <v>27</v>
      </c>
      <c r="B139">
        <v>60563</v>
      </c>
      <c r="C139" t="s">
        <v>28</v>
      </c>
      <c r="D139" t="s">
        <v>14</v>
      </c>
      <c r="E139" s="3">
        <v>44606</v>
      </c>
      <c r="F139" t="s">
        <v>15</v>
      </c>
      <c r="G139" s="1"/>
      <c r="H139" t="s">
        <v>15</v>
      </c>
      <c r="I139" s="2">
        <v>44805</v>
      </c>
      <c r="J139">
        <v>810.87</v>
      </c>
      <c r="K139">
        <v>41.9</v>
      </c>
      <c r="L139" t="s">
        <v>16</v>
      </c>
      <c r="M139">
        <f t="shared" si="6"/>
        <v>0</v>
      </c>
      <c r="N139">
        <f t="shared" si="7"/>
        <v>0</v>
      </c>
      <c r="O139">
        <f t="shared" si="8"/>
        <v>0</v>
      </c>
    </row>
    <row r="140" spans="1:15" x14ac:dyDescent="0.2">
      <c r="A140" t="s">
        <v>26</v>
      </c>
      <c r="B140">
        <v>60563</v>
      </c>
      <c r="C140" t="s">
        <v>24</v>
      </c>
      <c r="D140" t="s">
        <v>22</v>
      </c>
      <c r="E140" s="3">
        <v>44728</v>
      </c>
      <c r="F140" t="s">
        <v>15</v>
      </c>
      <c r="G140" s="1"/>
      <c r="H140" t="s">
        <v>15</v>
      </c>
      <c r="I140" s="2">
        <v>44835</v>
      </c>
      <c r="J140">
        <v>708.35</v>
      </c>
      <c r="K140">
        <v>74.099999999999994</v>
      </c>
      <c r="L140" t="s">
        <v>20</v>
      </c>
      <c r="M140">
        <f t="shared" si="6"/>
        <v>0</v>
      </c>
      <c r="N140">
        <f t="shared" si="7"/>
        <v>0</v>
      </c>
      <c r="O140">
        <f t="shared" si="8"/>
        <v>0</v>
      </c>
    </row>
    <row r="141" spans="1:15" x14ac:dyDescent="0.2">
      <c r="A141" t="s">
        <v>27</v>
      </c>
      <c r="B141">
        <v>60563</v>
      </c>
      <c r="C141" t="s">
        <v>28</v>
      </c>
      <c r="D141" t="s">
        <v>14</v>
      </c>
      <c r="E141" s="3">
        <v>44606</v>
      </c>
      <c r="F141" t="s">
        <v>15</v>
      </c>
      <c r="G141" s="1"/>
      <c r="H141" t="s">
        <v>15</v>
      </c>
      <c r="I141" s="2">
        <v>44835</v>
      </c>
      <c r="J141">
        <v>629.12</v>
      </c>
      <c r="K141">
        <v>74.099999999999994</v>
      </c>
      <c r="L141" t="s">
        <v>20</v>
      </c>
      <c r="M141">
        <f t="shared" si="6"/>
        <v>0</v>
      </c>
      <c r="N141">
        <f t="shared" si="7"/>
        <v>0</v>
      </c>
      <c r="O141">
        <f t="shared" si="8"/>
        <v>0</v>
      </c>
    </row>
    <row r="142" spans="1:15" x14ac:dyDescent="0.2">
      <c r="A142" t="s">
        <v>26</v>
      </c>
      <c r="B142">
        <v>60563</v>
      </c>
      <c r="C142" t="s">
        <v>24</v>
      </c>
      <c r="D142" t="s">
        <v>22</v>
      </c>
      <c r="E142" s="3">
        <v>44728</v>
      </c>
      <c r="F142" t="s">
        <v>15</v>
      </c>
      <c r="G142" s="1"/>
      <c r="H142" t="s">
        <v>15</v>
      </c>
      <c r="I142" s="2">
        <v>44866</v>
      </c>
      <c r="J142">
        <v>871.16</v>
      </c>
      <c r="K142">
        <v>42.6</v>
      </c>
      <c r="L142" t="s">
        <v>16</v>
      </c>
      <c r="M142">
        <f t="shared" si="6"/>
        <v>0</v>
      </c>
      <c r="N142">
        <f t="shared" si="7"/>
        <v>0</v>
      </c>
      <c r="O142">
        <f t="shared" si="8"/>
        <v>0</v>
      </c>
    </row>
    <row r="143" spans="1:15" x14ac:dyDescent="0.2">
      <c r="A143" t="s">
        <v>27</v>
      </c>
      <c r="B143">
        <v>60563</v>
      </c>
      <c r="C143" t="s">
        <v>28</v>
      </c>
      <c r="D143" t="s">
        <v>14</v>
      </c>
      <c r="E143" s="3">
        <v>44606</v>
      </c>
      <c r="F143" t="s">
        <v>15</v>
      </c>
      <c r="G143" s="1"/>
      <c r="H143" t="s">
        <v>15</v>
      </c>
      <c r="I143" s="2">
        <v>44866</v>
      </c>
      <c r="J143">
        <v>816.97</v>
      </c>
      <c r="K143">
        <v>42.6</v>
      </c>
      <c r="L143" t="s">
        <v>16</v>
      </c>
      <c r="M143">
        <f t="shared" si="6"/>
        <v>0</v>
      </c>
      <c r="N143">
        <f t="shared" si="7"/>
        <v>0</v>
      </c>
      <c r="O143">
        <f t="shared" si="8"/>
        <v>0</v>
      </c>
    </row>
    <row r="144" spans="1:15" x14ac:dyDescent="0.2">
      <c r="A144" t="s">
        <v>26</v>
      </c>
      <c r="B144">
        <v>60563</v>
      </c>
      <c r="C144" t="s">
        <v>24</v>
      </c>
      <c r="D144" t="s">
        <v>22</v>
      </c>
      <c r="E144" s="3">
        <v>44728</v>
      </c>
      <c r="F144" t="s">
        <v>15</v>
      </c>
      <c r="G144" s="1"/>
      <c r="H144" t="s">
        <v>15</v>
      </c>
      <c r="I144" s="2">
        <v>44896</v>
      </c>
      <c r="J144">
        <v>666.73</v>
      </c>
      <c r="K144">
        <v>52.3</v>
      </c>
      <c r="L144" t="s">
        <v>16</v>
      </c>
      <c r="M144">
        <f t="shared" si="6"/>
        <v>0</v>
      </c>
      <c r="N144">
        <f t="shared" si="7"/>
        <v>0</v>
      </c>
      <c r="O144">
        <f t="shared" si="8"/>
        <v>0</v>
      </c>
    </row>
    <row r="145" spans="1:15" x14ac:dyDescent="0.2">
      <c r="A145" t="s">
        <v>27</v>
      </c>
      <c r="B145">
        <v>60563</v>
      </c>
      <c r="C145" t="s">
        <v>28</v>
      </c>
      <c r="D145" t="s">
        <v>14</v>
      </c>
      <c r="E145" s="3">
        <v>44606</v>
      </c>
      <c r="F145" t="s">
        <v>15</v>
      </c>
      <c r="G145" s="1"/>
      <c r="H145" t="s">
        <v>15</v>
      </c>
      <c r="I145" s="2">
        <v>44896</v>
      </c>
      <c r="J145">
        <v>799.7</v>
      </c>
      <c r="K145">
        <v>52.3</v>
      </c>
      <c r="L145" t="s">
        <v>16</v>
      </c>
      <c r="M145">
        <f t="shared" si="6"/>
        <v>0</v>
      </c>
      <c r="N145">
        <f t="shared" si="7"/>
        <v>0</v>
      </c>
      <c r="O145">
        <f t="shared" si="8"/>
        <v>0</v>
      </c>
    </row>
    <row r="146" spans="1:15" x14ac:dyDescent="0.2">
      <c r="A146" t="s">
        <v>26</v>
      </c>
      <c r="B146">
        <v>60563</v>
      </c>
      <c r="C146" t="s">
        <v>24</v>
      </c>
      <c r="D146" t="s">
        <v>22</v>
      </c>
      <c r="E146" s="3">
        <v>44728</v>
      </c>
      <c r="F146" t="s">
        <v>15</v>
      </c>
      <c r="G146" s="1"/>
      <c r="H146" t="s">
        <v>15</v>
      </c>
      <c r="I146" s="2">
        <v>44927</v>
      </c>
      <c r="J146">
        <v>976.08</v>
      </c>
      <c r="K146">
        <v>76.2</v>
      </c>
      <c r="L146" t="s">
        <v>20</v>
      </c>
      <c r="M146">
        <f t="shared" si="6"/>
        <v>0</v>
      </c>
      <c r="N146">
        <f t="shared" si="7"/>
        <v>0</v>
      </c>
      <c r="O146">
        <f t="shared" si="8"/>
        <v>0</v>
      </c>
    </row>
    <row r="147" spans="1:15" x14ac:dyDescent="0.2">
      <c r="A147" t="s">
        <v>27</v>
      </c>
      <c r="B147">
        <v>60563</v>
      </c>
      <c r="C147" t="s">
        <v>28</v>
      </c>
      <c r="D147" t="s">
        <v>14</v>
      </c>
      <c r="E147" s="3">
        <v>44606</v>
      </c>
      <c r="F147" t="s">
        <v>15</v>
      </c>
      <c r="G147" s="1"/>
      <c r="H147" t="s">
        <v>15</v>
      </c>
      <c r="I147" s="2">
        <v>44927</v>
      </c>
      <c r="J147">
        <v>691.29</v>
      </c>
      <c r="K147">
        <v>76.2</v>
      </c>
      <c r="L147" t="s">
        <v>20</v>
      </c>
      <c r="M147">
        <f t="shared" si="6"/>
        <v>0</v>
      </c>
      <c r="N147">
        <f t="shared" si="7"/>
        <v>0</v>
      </c>
      <c r="O147">
        <f t="shared" si="8"/>
        <v>0</v>
      </c>
    </row>
    <row r="148" spans="1:15" x14ac:dyDescent="0.2">
      <c r="A148" t="s">
        <v>26</v>
      </c>
      <c r="B148">
        <v>60563</v>
      </c>
      <c r="C148" t="s">
        <v>24</v>
      </c>
      <c r="D148" t="s">
        <v>22</v>
      </c>
      <c r="E148" s="3">
        <v>44728</v>
      </c>
      <c r="F148" t="s">
        <v>15</v>
      </c>
      <c r="G148" s="1"/>
      <c r="H148" t="s">
        <v>15</v>
      </c>
      <c r="I148" s="2">
        <v>44958</v>
      </c>
      <c r="J148">
        <v>678.43</v>
      </c>
      <c r="K148">
        <v>73.7</v>
      </c>
      <c r="L148" t="s">
        <v>20</v>
      </c>
      <c r="M148">
        <f t="shared" si="6"/>
        <v>0</v>
      </c>
      <c r="N148">
        <f t="shared" si="7"/>
        <v>0</v>
      </c>
      <c r="O148">
        <f t="shared" si="8"/>
        <v>0</v>
      </c>
    </row>
    <row r="149" spans="1:15" x14ac:dyDescent="0.2">
      <c r="A149" t="s">
        <v>27</v>
      </c>
      <c r="B149">
        <v>60563</v>
      </c>
      <c r="C149" t="s">
        <v>28</v>
      </c>
      <c r="D149" t="s">
        <v>14</v>
      </c>
      <c r="E149" s="3">
        <v>44606</v>
      </c>
      <c r="F149" t="s">
        <v>15</v>
      </c>
      <c r="G149" s="1"/>
      <c r="H149" t="s">
        <v>15</v>
      </c>
      <c r="I149" s="2">
        <v>44958</v>
      </c>
      <c r="J149">
        <v>794.54</v>
      </c>
      <c r="K149">
        <v>73.7</v>
      </c>
      <c r="L149" t="s">
        <v>20</v>
      </c>
      <c r="M149">
        <f t="shared" si="6"/>
        <v>0</v>
      </c>
      <c r="N149">
        <f t="shared" si="7"/>
        <v>0</v>
      </c>
      <c r="O149">
        <f t="shared" si="8"/>
        <v>0</v>
      </c>
    </row>
    <row r="150" spans="1:15" x14ac:dyDescent="0.2">
      <c r="A150" t="s">
        <v>26</v>
      </c>
      <c r="B150">
        <v>60563</v>
      </c>
      <c r="C150" t="s">
        <v>24</v>
      </c>
      <c r="D150" t="s">
        <v>22</v>
      </c>
      <c r="E150" s="3">
        <v>44728</v>
      </c>
      <c r="F150" t="s">
        <v>15</v>
      </c>
      <c r="G150" s="1"/>
      <c r="H150" t="s">
        <v>15</v>
      </c>
      <c r="I150" s="2">
        <v>44986</v>
      </c>
      <c r="J150">
        <v>667.67</v>
      </c>
      <c r="K150">
        <v>52.8</v>
      </c>
      <c r="L150" t="s">
        <v>16</v>
      </c>
      <c r="M150">
        <f t="shared" si="6"/>
        <v>0</v>
      </c>
      <c r="N150">
        <f t="shared" si="7"/>
        <v>0</v>
      </c>
      <c r="O150">
        <f t="shared" si="8"/>
        <v>0</v>
      </c>
    </row>
    <row r="151" spans="1:15" x14ac:dyDescent="0.2">
      <c r="A151" t="s">
        <v>27</v>
      </c>
      <c r="B151">
        <v>60563</v>
      </c>
      <c r="C151" t="s">
        <v>28</v>
      </c>
      <c r="D151" t="s">
        <v>14</v>
      </c>
      <c r="E151" s="3">
        <v>44606</v>
      </c>
      <c r="F151" t="s">
        <v>15</v>
      </c>
      <c r="G151" s="1"/>
      <c r="H151" t="s">
        <v>15</v>
      </c>
      <c r="I151" s="2">
        <v>44986</v>
      </c>
      <c r="J151">
        <v>837.83</v>
      </c>
      <c r="K151">
        <v>52.8</v>
      </c>
      <c r="L151" t="s">
        <v>16</v>
      </c>
      <c r="M151">
        <f t="shared" si="6"/>
        <v>0</v>
      </c>
      <c r="N151">
        <f t="shared" si="7"/>
        <v>0</v>
      </c>
      <c r="O151">
        <f t="shared" si="8"/>
        <v>0</v>
      </c>
    </row>
    <row r="152" spans="1:15" x14ac:dyDescent="0.2">
      <c r="A152" t="s">
        <v>26</v>
      </c>
      <c r="B152">
        <v>60563</v>
      </c>
      <c r="C152" t="s">
        <v>24</v>
      </c>
      <c r="D152" t="s">
        <v>22</v>
      </c>
      <c r="E152" s="3">
        <v>44728</v>
      </c>
      <c r="F152" t="s">
        <v>15</v>
      </c>
      <c r="G152" s="1"/>
      <c r="H152" t="s">
        <v>15</v>
      </c>
      <c r="I152" s="2">
        <v>45017</v>
      </c>
      <c r="J152">
        <v>814.31</v>
      </c>
      <c r="K152">
        <v>103.1</v>
      </c>
      <c r="L152" t="s">
        <v>20</v>
      </c>
      <c r="M152">
        <f t="shared" si="6"/>
        <v>0</v>
      </c>
      <c r="N152">
        <f t="shared" si="7"/>
        <v>0</v>
      </c>
      <c r="O152">
        <f t="shared" si="8"/>
        <v>0</v>
      </c>
    </row>
    <row r="153" spans="1:15" x14ac:dyDescent="0.2">
      <c r="A153" t="s">
        <v>27</v>
      </c>
      <c r="B153">
        <v>60563</v>
      </c>
      <c r="C153" t="s">
        <v>28</v>
      </c>
      <c r="D153" t="s">
        <v>14</v>
      </c>
      <c r="E153" s="3">
        <v>44606</v>
      </c>
      <c r="F153" t="s">
        <v>15</v>
      </c>
      <c r="G153" s="1"/>
      <c r="H153" t="s">
        <v>15</v>
      </c>
      <c r="I153" s="2">
        <v>45017</v>
      </c>
      <c r="J153">
        <v>768.36</v>
      </c>
      <c r="K153">
        <v>103.1</v>
      </c>
      <c r="L153" t="s">
        <v>20</v>
      </c>
      <c r="M153">
        <f t="shared" si="6"/>
        <v>0</v>
      </c>
      <c r="N153">
        <f t="shared" si="7"/>
        <v>0</v>
      </c>
      <c r="O153">
        <f t="shared" si="8"/>
        <v>0</v>
      </c>
    </row>
    <row r="154" spans="1:15" x14ac:dyDescent="0.2">
      <c r="A154" t="s">
        <v>26</v>
      </c>
      <c r="B154">
        <v>60563</v>
      </c>
      <c r="C154" t="s">
        <v>24</v>
      </c>
      <c r="D154" t="s">
        <v>22</v>
      </c>
      <c r="E154" s="3">
        <v>44728</v>
      </c>
      <c r="F154" t="s">
        <v>15</v>
      </c>
      <c r="G154" s="1"/>
      <c r="H154" t="s">
        <v>15</v>
      </c>
      <c r="I154" s="2">
        <v>45047</v>
      </c>
      <c r="J154">
        <v>658.13</v>
      </c>
      <c r="K154">
        <v>40.6</v>
      </c>
      <c r="L154" t="s">
        <v>16</v>
      </c>
      <c r="M154">
        <f t="shared" si="6"/>
        <v>0</v>
      </c>
      <c r="N154">
        <f t="shared" si="7"/>
        <v>0</v>
      </c>
      <c r="O154">
        <f t="shared" si="8"/>
        <v>0</v>
      </c>
    </row>
    <row r="155" spans="1:15" x14ac:dyDescent="0.2">
      <c r="A155" t="s">
        <v>27</v>
      </c>
      <c r="B155">
        <v>60563</v>
      </c>
      <c r="C155" t="s">
        <v>28</v>
      </c>
      <c r="D155" t="s">
        <v>14</v>
      </c>
      <c r="E155" s="3">
        <v>44606</v>
      </c>
      <c r="F155" t="s">
        <v>15</v>
      </c>
      <c r="G155" s="1"/>
      <c r="H155" t="s">
        <v>15</v>
      </c>
      <c r="I155" s="2">
        <v>45047</v>
      </c>
      <c r="J155">
        <v>686.69</v>
      </c>
      <c r="K155">
        <v>40.6</v>
      </c>
      <c r="L155" t="s">
        <v>16</v>
      </c>
      <c r="M155">
        <f t="shared" si="6"/>
        <v>0</v>
      </c>
      <c r="N155">
        <f t="shared" si="7"/>
        <v>0</v>
      </c>
      <c r="O155">
        <f t="shared" si="8"/>
        <v>0</v>
      </c>
    </row>
    <row r="156" spans="1:15" x14ac:dyDescent="0.2">
      <c r="A156" t="s">
        <v>26</v>
      </c>
      <c r="B156">
        <v>60563</v>
      </c>
      <c r="C156" t="s">
        <v>24</v>
      </c>
      <c r="D156" t="s">
        <v>22</v>
      </c>
      <c r="E156" s="3">
        <v>44728</v>
      </c>
      <c r="F156" t="s">
        <v>15</v>
      </c>
      <c r="G156" s="1"/>
      <c r="H156" t="s">
        <v>15</v>
      </c>
      <c r="I156" s="2">
        <v>45078</v>
      </c>
      <c r="J156">
        <v>845.49</v>
      </c>
      <c r="K156">
        <v>76</v>
      </c>
      <c r="L156" t="s">
        <v>20</v>
      </c>
      <c r="M156">
        <f t="shared" si="6"/>
        <v>0</v>
      </c>
      <c r="N156">
        <f t="shared" si="7"/>
        <v>0</v>
      </c>
      <c r="O156">
        <f t="shared" si="8"/>
        <v>0</v>
      </c>
    </row>
    <row r="157" spans="1:15" x14ac:dyDescent="0.2">
      <c r="A157" t="s">
        <v>27</v>
      </c>
      <c r="B157">
        <v>60563</v>
      </c>
      <c r="C157" t="s">
        <v>28</v>
      </c>
      <c r="D157" t="s">
        <v>14</v>
      </c>
      <c r="E157" s="3">
        <v>44606</v>
      </c>
      <c r="F157" t="s">
        <v>15</v>
      </c>
      <c r="G157" s="1"/>
      <c r="H157" t="s">
        <v>15</v>
      </c>
      <c r="I157" s="2">
        <v>45078</v>
      </c>
      <c r="J157">
        <v>812.57</v>
      </c>
      <c r="K157">
        <v>76</v>
      </c>
      <c r="L157" t="s">
        <v>20</v>
      </c>
      <c r="M157">
        <f t="shared" si="6"/>
        <v>0</v>
      </c>
      <c r="N157">
        <f t="shared" si="7"/>
        <v>0</v>
      </c>
      <c r="O157">
        <f t="shared" si="8"/>
        <v>0</v>
      </c>
    </row>
    <row r="158" spans="1:15" x14ac:dyDescent="0.2">
      <c r="A158" t="s">
        <v>26</v>
      </c>
      <c r="B158">
        <v>60563</v>
      </c>
      <c r="C158" t="s">
        <v>24</v>
      </c>
      <c r="D158" t="s">
        <v>22</v>
      </c>
      <c r="E158" s="3">
        <v>44728</v>
      </c>
      <c r="F158" t="s">
        <v>15</v>
      </c>
      <c r="G158" s="1"/>
      <c r="H158" t="s">
        <v>15</v>
      </c>
      <c r="I158" s="2">
        <v>45108</v>
      </c>
      <c r="J158">
        <v>737.16</v>
      </c>
      <c r="K158">
        <v>38.9</v>
      </c>
      <c r="L158" t="s">
        <v>19</v>
      </c>
      <c r="M158">
        <f t="shared" si="6"/>
        <v>0</v>
      </c>
      <c r="N158">
        <f t="shared" si="7"/>
        <v>0</v>
      </c>
      <c r="O158">
        <f t="shared" si="8"/>
        <v>0</v>
      </c>
    </row>
    <row r="159" spans="1:15" x14ac:dyDescent="0.2">
      <c r="A159" t="s">
        <v>27</v>
      </c>
      <c r="B159">
        <v>60563</v>
      </c>
      <c r="C159" t="s">
        <v>28</v>
      </c>
      <c r="D159" t="s">
        <v>14</v>
      </c>
      <c r="E159" s="3">
        <v>44606</v>
      </c>
      <c r="F159" t="s">
        <v>15</v>
      </c>
      <c r="G159" s="1"/>
      <c r="H159" t="s">
        <v>15</v>
      </c>
      <c r="I159" s="2">
        <v>45108</v>
      </c>
      <c r="J159">
        <v>550.62</v>
      </c>
      <c r="K159">
        <v>38.9</v>
      </c>
      <c r="L159" t="s">
        <v>19</v>
      </c>
      <c r="M159">
        <f t="shared" si="6"/>
        <v>0</v>
      </c>
      <c r="N159">
        <f t="shared" si="7"/>
        <v>0</v>
      </c>
      <c r="O159">
        <f t="shared" si="8"/>
        <v>0</v>
      </c>
    </row>
    <row r="160" spans="1:15" x14ac:dyDescent="0.2">
      <c r="A160" t="s">
        <v>26</v>
      </c>
      <c r="B160">
        <v>60563</v>
      </c>
      <c r="C160" t="s">
        <v>24</v>
      </c>
      <c r="D160" t="s">
        <v>22</v>
      </c>
      <c r="E160" s="3">
        <v>44728</v>
      </c>
      <c r="F160" t="s">
        <v>15</v>
      </c>
      <c r="G160" s="1"/>
      <c r="H160" t="s">
        <v>15</v>
      </c>
      <c r="I160" s="2">
        <v>45139</v>
      </c>
      <c r="J160">
        <v>688.16</v>
      </c>
      <c r="K160">
        <v>80</v>
      </c>
      <c r="L160" t="s">
        <v>20</v>
      </c>
      <c r="M160">
        <f t="shared" si="6"/>
        <v>0</v>
      </c>
      <c r="N160">
        <f t="shared" si="7"/>
        <v>0</v>
      </c>
      <c r="O160">
        <f t="shared" si="8"/>
        <v>0</v>
      </c>
    </row>
    <row r="161" spans="1:15" x14ac:dyDescent="0.2">
      <c r="A161" t="s">
        <v>27</v>
      </c>
      <c r="B161">
        <v>60563</v>
      </c>
      <c r="C161" t="s">
        <v>28</v>
      </c>
      <c r="D161" t="s">
        <v>14</v>
      </c>
      <c r="E161" s="3">
        <v>44606</v>
      </c>
      <c r="F161" t="s">
        <v>15</v>
      </c>
      <c r="G161" s="1"/>
      <c r="H161" t="s">
        <v>15</v>
      </c>
      <c r="I161" s="2">
        <v>45139</v>
      </c>
      <c r="J161">
        <v>628.39</v>
      </c>
      <c r="K161">
        <v>80</v>
      </c>
      <c r="L161" t="s">
        <v>20</v>
      </c>
      <c r="M161">
        <f t="shared" si="6"/>
        <v>0</v>
      </c>
      <c r="N161">
        <f t="shared" si="7"/>
        <v>0</v>
      </c>
      <c r="O161">
        <f t="shared" si="8"/>
        <v>0</v>
      </c>
    </row>
    <row r="162" spans="1:15" x14ac:dyDescent="0.2">
      <c r="A162" t="s">
        <v>26</v>
      </c>
      <c r="B162">
        <v>60563</v>
      </c>
      <c r="C162" t="s">
        <v>24</v>
      </c>
      <c r="D162" t="s">
        <v>22</v>
      </c>
      <c r="E162" s="3">
        <v>44728</v>
      </c>
      <c r="F162" t="s">
        <v>15</v>
      </c>
      <c r="G162" s="1"/>
      <c r="H162" t="s">
        <v>15</v>
      </c>
      <c r="I162" s="2">
        <v>45170</v>
      </c>
      <c r="J162">
        <v>677.5</v>
      </c>
      <c r="K162">
        <v>84.9</v>
      </c>
      <c r="L162" t="s">
        <v>20</v>
      </c>
      <c r="M162">
        <f t="shared" si="6"/>
        <v>0</v>
      </c>
      <c r="N162">
        <f t="shared" si="7"/>
        <v>0</v>
      </c>
      <c r="O162">
        <f t="shared" si="8"/>
        <v>0</v>
      </c>
    </row>
    <row r="163" spans="1:15" x14ac:dyDescent="0.2">
      <c r="A163" t="s">
        <v>27</v>
      </c>
      <c r="B163">
        <v>60563</v>
      </c>
      <c r="C163" t="s">
        <v>28</v>
      </c>
      <c r="D163" t="s">
        <v>14</v>
      </c>
      <c r="E163" s="3">
        <v>44606</v>
      </c>
      <c r="F163" t="s">
        <v>15</v>
      </c>
      <c r="G163" s="1"/>
      <c r="H163" t="s">
        <v>15</v>
      </c>
      <c r="I163" s="2">
        <v>45170</v>
      </c>
      <c r="J163">
        <v>639.54</v>
      </c>
      <c r="K163">
        <v>84.9</v>
      </c>
      <c r="L163" t="s">
        <v>20</v>
      </c>
      <c r="M163">
        <f t="shared" si="6"/>
        <v>0</v>
      </c>
      <c r="N163">
        <f t="shared" si="7"/>
        <v>0</v>
      </c>
      <c r="O163">
        <f t="shared" si="8"/>
        <v>0</v>
      </c>
    </row>
    <row r="164" spans="1:15" x14ac:dyDescent="0.2">
      <c r="A164" t="s">
        <v>26</v>
      </c>
      <c r="B164">
        <v>60563</v>
      </c>
      <c r="C164" t="s">
        <v>24</v>
      </c>
      <c r="D164" t="s">
        <v>22</v>
      </c>
      <c r="E164" s="3">
        <v>44728</v>
      </c>
      <c r="F164" t="s">
        <v>15</v>
      </c>
      <c r="G164" s="1"/>
      <c r="H164" t="s">
        <v>15</v>
      </c>
      <c r="I164" s="2">
        <v>45200</v>
      </c>
      <c r="J164">
        <v>820.76</v>
      </c>
      <c r="K164">
        <v>80.8</v>
      </c>
      <c r="L164" t="s">
        <v>20</v>
      </c>
      <c r="M164">
        <f t="shared" si="6"/>
        <v>0</v>
      </c>
      <c r="N164">
        <f t="shared" si="7"/>
        <v>0</v>
      </c>
      <c r="O164">
        <f t="shared" si="8"/>
        <v>0</v>
      </c>
    </row>
    <row r="165" spans="1:15" x14ac:dyDescent="0.2">
      <c r="A165" t="s">
        <v>27</v>
      </c>
      <c r="B165">
        <v>60563</v>
      </c>
      <c r="C165" t="s">
        <v>28</v>
      </c>
      <c r="D165" t="s">
        <v>14</v>
      </c>
      <c r="E165" s="3">
        <v>44606</v>
      </c>
      <c r="F165" t="s">
        <v>15</v>
      </c>
      <c r="G165" s="1"/>
      <c r="H165" t="s">
        <v>15</v>
      </c>
      <c r="I165" s="2">
        <v>45200</v>
      </c>
      <c r="J165">
        <v>696.9</v>
      </c>
      <c r="K165">
        <v>80.8</v>
      </c>
      <c r="L165" t="s">
        <v>20</v>
      </c>
      <c r="M165">
        <f t="shared" si="6"/>
        <v>0</v>
      </c>
      <c r="N165">
        <f t="shared" si="7"/>
        <v>0</v>
      </c>
      <c r="O165">
        <f t="shared" si="8"/>
        <v>0</v>
      </c>
    </row>
    <row r="166" spans="1:15" x14ac:dyDescent="0.2">
      <c r="A166" t="s">
        <v>26</v>
      </c>
      <c r="B166">
        <v>60563</v>
      </c>
      <c r="C166" t="s">
        <v>24</v>
      </c>
      <c r="D166" t="s">
        <v>22</v>
      </c>
      <c r="E166" s="3">
        <v>44728</v>
      </c>
      <c r="F166" t="s">
        <v>15</v>
      </c>
      <c r="G166" s="1"/>
      <c r="H166" t="s">
        <v>15</v>
      </c>
      <c r="I166" s="2">
        <v>45231</v>
      </c>
      <c r="J166">
        <v>723.05</v>
      </c>
      <c r="K166">
        <v>46.5</v>
      </c>
      <c r="L166" t="s">
        <v>16</v>
      </c>
      <c r="M166">
        <f t="shared" si="6"/>
        <v>0</v>
      </c>
      <c r="N166">
        <f t="shared" si="7"/>
        <v>0</v>
      </c>
      <c r="O166">
        <f t="shared" si="8"/>
        <v>0</v>
      </c>
    </row>
    <row r="167" spans="1:15" x14ac:dyDescent="0.2">
      <c r="A167" t="s">
        <v>27</v>
      </c>
      <c r="B167">
        <v>60563</v>
      </c>
      <c r="C167" t="s">
        <v>28</v>
      </c>
      <c r="D167" t="s">
        <v>14</v>
      </c>
      <c r="E167" s="3">
        <v>44606</v>
      </c>
      <c r="F167" t="s">
        <v>15</v>
      </c>
      <c r="G167" s="1"/>
      <c r="H167" t="s">
        <v>15</v>
      </c>
      <c r="I167" s="2">
        <v>45231</v>
      </c>
      <c r="J167">
        <v>750.67</v>
      </c>
      <c r="K167">
        <v>46.5</v>
      </c>
      <c r="L167" t="s">
        <v>16</v>
      </c>
      <c r="M167">
        <f t="shared" si="6"/>
        <v>0</v>
      </c>
      <c r="N167">
        <f t="shared" si="7"/>
        <v>0</v>
      </c>
      <c r="O167">
        <f t="shared" si="8"/>
        <v>0</v>
      </c>
    </row>
    <row r="168" spans="1:15" x14ac:dyDescent="0.2">
      <c r="A168" t="s">
        <v>26</v>
      </c>
      <c r="B168">
        <v>60563</v>
      </c>
      <c r="C168" t="s">
        <v>24</v>
      </c>
      <c r="D168" t="s">
        <v>22</v>
      </c>
      <c r="E168" s="3">
        <v>44728</v>
      </c>
      <c r="F168" t="s">
        <v>15</v>
      </c>
      <c r="G168" s="1"/>
      <c r="H168" t="s">
        <v>15</v>
      </c>
      <c r="I168" s="2">
        <v>45261</v>
      </c>
      <c r="J168">
        <v>743.23</v>
      </c>
      <c r="K168">
        <v>29.2</v>
      </c>
      <c r="L168" t="s">
        <v>19</v>
      </c>
      <c r="M168">
        <f t="shared" si="6"/>
        <v>0</v>
      </c>
      <c r="N168">
        <f t="shared" si="7"/>
        <v>0</v>
      </c>
      <c r="O168">
        <f t="shared" si="8"/>
        <v>0</v>
      </c>
    </row>
    <row r="169" spans="1:15" x14ac:dyDescent="0.2">
      <c r="A169" t="s">
        <v>27</v>
      </c>
      <c r="B169">
        <v>60563</v>
      </c>
      <c r="C169" t="s">
        <v>28</v>
      </c>
      <c r="D169" t="s">
        <v>14</v>
      </c>
      <c r="E169" s="3">
        <v>44606</v>
      </c>
      <c r="F169" t="s">
        <v>15</v>
      </c>
      <c r="G169" s="1"/>
      <c r="H169" t="s">
        <v>15</v>
      </c>
      <c r="I169" s="2">
        <v>45261</v>
      </c>
      <c r="J169">
        <v>679.93</v>
      </c>
      <c r="K169">
        <v>29.2</v>
      </c>
      <c r="L169" t="s">
        <v>19</v>
      </c>
      <c r="M169">
        <f t="shared" si="6"/>
        <v>0</v>
      </c>
      <c r="N169">
        <f t="shared" si="7"/>
        <v>0</v>
      </c>
      <c r="O169">
        <f t="shared" si="8"/>
        <v>0</v>
      </c>
    </row>
    <row r="170" spans="1:15" x14ac:dyDescent="0.2">
      <c r="A170" t="s">
        <v>29</v>
      </c>
      <c r="B170">
        <v>60563</v>
      </c>
      <c r="C170" t="s">
        <v>13</v>
      </c>
      <c r="D170" t="s">
        <v>22</v>
      </c>
      <c r="E170" s="3">
        <v>44816</v>
      </c>
      <c r="F170" t="s">
        <v>15</v>
      </c>
      <c r="G170" s="1"/>
      <c r="H170" t="s">
        <v>15</v>
      </c>
      <c r="I170" s="2">
        <v>44562</v>
      </c>
      <c r="J170">
        <v>887.71</v>
      </c>
      <c r="K170">
        <v>43</v>
      </c>
      <c r="L170" t="s">
        <v>16</v>
      </c>
      <c r="M170">
        <f t="shared" si="6"/>
        <v>0</v>
      </c>
      <c r="N170">
        <f t="shared" si="7"/>
        <v>0</v>
      </c>
      <c r="O170">
        <f t="shared" si="8"/>
        <v>0</v>
      </c>
    </row>
    <row r="171" spans="1:15" x14ac:dyDescent="0.2">
      <c r="A171" t="s">
        <v>29</v>
      </c>
      <c r="B171">
        <v>60563</v>
      </c>
      <c r="C171" t="s">
        <v>13</v>
      </c>
      <c r="D171" t="s">
        <v>22</v>
      </c>
      <c r="E171" s="3">
        <v>44816</v>
      </c>
      <c r="F171" t="s">
        <v>15</v>
      </c>
      <c r="G171" s="1"/>
      <c r="H171" t="s">
        <v>15</v>
      </c>
      <c r="I171" s="2">
        <v>44593</v>
      </c>
      <c r="J171">
        <v>867.36</v>
      </c>
      <c r="K171">
        <v>26.4</v>
      </c>
      <c r="L171" t="s">
        <v>19</v>
      </c>
      <c r="M171">
        <f t="shared" si="6"/>
        <v>0</v>
      </c>
      <c r="N171">
        <f t="shared" si="7"/>
        <v>0</v>
      </c>
      <c r="O171">
        <f t="shared" si="8"/>
        <v>0</v>
      </c>
    </row>
    <row r="172" spans="1:15" x14ac:dyDescent="0.2">
      <c r="A172" t="s">
        <v>29</v>
      </c>
      <c r="B172">
        <v>60563</v>
      </c>
      <c r="C172" t="s">
        <v>13</v>
      </c>
      <c r="D172" t="s">
        <v>22</v>
      </c>
      <c r="E172" s="3">
        <v>44816</v>
      </c>
      <c r="F172" t="s">
        <v>15</v>
      </c>
      <c r="G172" s="1"/>
      <c r="H172" t="s">
        <v>15</v>
      </c>
      <c r="I172" s="2">
        <v>44621</v>
      </c>
      <c r="J172">
        <v>971.45</v>
      </c>
      <c r="K172">
        <v>29.5</v>
      </c>
      <c r="L172" t="s">
        <v>19</v>
      </c>
      <c r="M172">
        <f t="shared" si="6"/>
        <v>0</v>
      </c>
      <c r="N172">
        <f t="shared" si="7"/>
        <v>0</v>
      </c>
      <c r="O172">
        <f t="shared" si="8"/>
        <v>0</v>
      </c>
    </row>
    <row r="173" spans="1:15" x14ac:dyDescent="0.2">
      <c r="A173" t="s">
        <v>29</v>
      </c>
      <c r="B173">
        <v>60563</v>
      </c>
      <c r="C173" t="s">
        <v>13</v>
      </c>
      <c r="D173" t="s">
        <v>22</v>
      </c>
      <c r="E173" s="3">
        <v>44816</v>
      </c>
      <c r="F173" t="s">
        <v>15</v>
      </c>
      <c r="G173" s="1"/>
      <c r="H173" t="s">
        <v>15</v>
      </c>
      <c r="I173" s="2">
        <v>44652</v>
      </c>
      <c r="J173">
        <v>694.06</v>
      </c>
      <c r="K173">
        <v>50.8</v>
      </c>
      <c r="L173" t="s">
        <v>16</v>
      </c>
      <c r="M173">
        <f t="shared" si="6"/>
        <v>0</v>
      </c>
      <c r="N173">
        <f t="shared" si="7"/>
        <v>0</v>
      </c>
      <c r="O173">
        <f t="shared" si="8"/>
        <v>0</v>
      </c>
    </row>
    <row r="174" spans="1:15" x14ac:dyDescent="0.2">
      <c r="A174" t="s">
        <v>29</v>
      </c>
      <c r="B174">
        <v>60563</v>
      </c>
      <c r="C174" t="s">
        <v>13</v>
      </c>
      <c r="D174" t="s">
        <v>22</v>
      </c>
      <c r="E174" s="3">
        <v>44816</v>
      </c>
      <c r="F174" t="s">
        <v>15</v>
      </c>
      <c r="G174" s="1"/>
      <c r="H174" t="s">
        <v>15</v>
      </c>
      <c r="I174" s="2">
        <v>44682</v>
      </c>
      <c r="J174">
        <v>838.04</v>
      </c>
      <c r="K174">
        <v>46.3</v>
      </c>
      <c r="L174" t="s">
        <v>16</v>
      </c>
      <c r="M174">
        <f t="shared" si="6"/>
        <v>0</v>
      </c>
      <c r="N174">
        <f t="shared" si="7"/>
        <v>0</v>
      </c>
      <c r="O174">
        <f t="shared" si="8"/>
        <v>0</v>
      </c>
    </row>
    <row r="175" spans="1:15" x14ac:dyDescent="0.2">
      <c r="A175" t="s">
        <v>29</v>
      </c>
      <c r="B175">
        <v>60563</v>
      </c>
      <c r="C175" t="s">
        <v>13</v>
      </c>
      <c r="D175" t="s">
        <v>22</v>
      </c>
      <c r="E175" s="3">
        <v>44816</v>
      </c>
      <c r="F175" t="s">
        <v>15</v>
      </c>
      <c r="G175" s="1"/>
      <c r="H175" t="s">
        <v>15</v>
      </c>
      <c r="I175" s="2">
        <v>44713</v>
      </c>
      <c r="J175">
        <v>582.62</v>
      </c>
      <c r="K175">
        <v>61.1</v>
      </c>
      <c r="L175" t="s">
        <v>16</v>
      </c>
      <c r="M175">
        <f t="shared" si="6"/>
        <v>0</v>
      </c>
      <c r="N175">
        <f t="shared" si="7"/>
        <v>0</v>
      </c>
      <c r="O175">
        <f t="shared" si="8"/>
        <v>0</v>
      </c>
    </row>
    <row r="176" spans="1:15" x14ac:dyDescent="0.2">
      <c r="A176" t="s">
        <v>29</v>
      </c>
      <c r="B176">
        <v>60563</v>
      </c>
      <c r="C176" t="s">
        <v>13</v>
      </c>
      <c r="D176" t="s">
        <v>22</v>
      </c>
      <c r="E176" s="3">
        <v>44816</v>
      </c>
      <c r="F176" t="s">
        <v>15</v>
      </c>
      <c r="G176" s="1"/>
      <c r="H176" t="s">
        <v>15</v>
      </c>
      <c r="I176" s="2">
        <v>44743</v>
      </c>
      <c r="J176">
        <v>668.3</v>
      </c>
      <c r="K176">
        <v>27.4</v>
      </c>
      <c r="L176" t="s">
        <v>19</v>
      </c>
      <c r="M176">
        <f t="shared" si="6"/>
        <v>0</v>
      </c>
      <c r="N176">
        <f t="shared" si="7"/>
        <v>0</v>
      </c>
      <c r="O176">
        <f t="shared" si="8"/>
        <v>0</v>
      </c>
    </row>
    <row r="177" spans="1:15" x14ac:dyDescent="0.2">
      <c r="A177" t="s">
        <v>29</v>
      </c>
      <c r="B177">
        <v>60563</v>
      </c>
      <c r="C177" t="s">
        <v>13</v>
      </c>
      <c r="D177" t="s">
        <v>22</v>
      </c>
      <c r="E177" s="3">
        <v>44816</v>
      </c>
      <c r="F177" t="s">
        <v>15</v>
      </c>
      <c r="G177" s="1"/>
      <c r="H177" t="s">
        <v>15</v>
      </c>
      <c r="I177" s="2">
        <v>44774</v>
      </c>
      <c r="J177">
        <v>792.51</v>
      </c>
      <c r="K177">
        <v>54.2</v>
      </c>
      <c r="L177" t="s">
        <v>16</v>
      </c>
      <c r="M177">
        <f t="shared" si="6"/>
        <v>0</v>
      </c>
      <c r="N177">
        <f t="shared" si="7"/>
        <v>0</v>
      </c>
      <c r="O177">
        <f t="shared" si="8"/>
        <v>0</v>
      </c>
    </row>
    <row r="178" spans="1:15" x14ac:dyDescent="0.2">
      <c r="A178" t="s">
        <v>29</v>
      </c>
      <c r="B178">
        <v>60563</v>
      </c>
      <c r="C178" t="s">
        <v>13</v>
      </c>
      <c r="D178" t="s">
        <v>22</v>
      </c>
      <c r="E178" s="3">
        <v>44816</v>
      </c>
      <c r="F178" t="s">
        <v>15</v>
      </c>
      <c r="G178" s="1"/>
      <c r="H178" t="s">
        <v>15</v>
      </c>
      <c r="I178" s="2">
        <v>44805</v>
      </c>
      <c r="J178">
        <v>841.82</v>
      </c>
      <c r="K178">
        <v>41.9</v>
      </c>
      <c r="L178" t="s">
        <v>16</v>
      </c>
      <c r="M178">
        <f t="shared" si="6"/>
        <v>0</v>
      </c>
      <c r="N178">
        <f t="shared" si="7"/>
        <v>0</v>
      </c>
      <c r="O178">
        <f t="shared" si="8"/>
        <v>0</v>
      </c>
    </row>
    <row r="179" spans="1:15" x14ac:dyDescent="0.2">
      <c r="A179" t="s">
        <v>29</v>
      </c>
      <c r="B179">
        <v>60563</v>
      </c>
      <c r="C179" t="s">
        <v>13</v>
      </c>
      <c r="D179" t="s">
        <v>22</v>
      </c>
      <c r="E179" s="3">
        <v>44816</v>
      </c>
      <c r="F179" t="s">
        <v>15</v>
      </c>
      <c r="G179" s="1"/>
      <c r="H179" t="s">
        <v>15</v>
      </c>
      <c r="I179" s="2">
        <v>44835</v>
      </c>
      <c r="J179">
        <v>789.82</v>
      </c>
      <c r="K179">
        <v>74.099999999999994</v>
      </c>
      <c r="L179" t="s">
        <v>20</v>
      </c>
      <c r="M179">
        <f t="shared" si="6"/>
        <v>0</v>
      </c>
      <c r="N179">
        <f t="shared" si="7"/>
        <v>0</v>
      </c>
      <c r="O179">
        <f t="shared" si="8"/>
        <v>0</v>
      </c>
    </row>
    <row r="180" spans="1:15" x14ac:dyDescent="0.2">
      <c r="A180" t="s">
        <v>29</v>
      </c>
      <c r="B180">
        <v>60563</v>
      </c>
      <c r="C180" t="s">
        <v>13</v>
      </c>
      <c r="D180" t="s">
        <v>22</v>
      </c>
      <c r="E180" s="3">
        <v>44816</v>
      </c>
      <c r="F180" t="s">
        <v>15</v>
      </c>
      <c r="G180" s="1"/>
      <c r="H180" t="s">
        <v>15</v>
      </c>
      <c r="I180" s="2">
        <v>44866</v>
      </c>
      <c r="J180">
        <v>743.28</v>
      </c>
      <c r="K180">
        <v>42.6</v>
      </c>
      <c r="L180" t="s">
        <v>16</v>
      </c>
      <c r="M180">
        <f t="shared" si="6"/>
        <v>0</v>
      </c>
      <c r="N180">
        <f t="shared" si="7"/>
        <v>0</v>
      </c>
      <c r="O180">
        <f t="shared" si="8"/>
        <v>0</v>
      </c>
    </row>
    <row r="181" spans="1:15" x14ac:dyDescent="0.2">
      <c r="A181" t="s">
        <v>29</v>
      </c>
      <c r="B181">
        <v>60563</v>
      </c>
      <c r="C181" t="s">
        <v>13</v>
      </c>
      <c r="D181" t="s">
        <v>22</v>
      </c>
      <c r="E181" s="3">
        <v>44816</v>
      </c>
      <c r="F181" t="s">
        <v>15</v>
      </c>
      <c r="G181" s="1"/>
      <c r="H181" t="s">
        <v>15</v>
      </c>
      <c r="I181" s="2">
        <v>44896</v>
      </c>
      <c r="J181">
        <v>761.06</v>
      </c>
      <c r="K181">
        <v>52.3</v>
      </c>
      <c r="L181" t="s">
        <v>16</v>
      </c>
      <c r="M181">
        <f t="shared" si="6"/>
        <v>0</v>
      </c>
      <c r="N181">
        <f t="shared" si="7"/>
        <v>0</v>
      </c>
      <c r="O181">
        <f t="shared" si="8"/>
        <v>0</v>
      </c>
    </row>
    <row r="182" spans="1:15" x14ac:dyDescent="0.2">
      <c r="A182" t="s">
        <v>29</v>
      </c>
      <c r="B182">
        <v>60563</v>
      </c>
      <c r="C182" t="s">
        <v>13</v>
      </c>
      <c r="D182" t="s">
        <v>22</v>
      </c>
      <c r="E182" s="3">
        <v>44816</v>
      </c>
      <c r="F182" t="s">
        <v>15</v>
      </c>
      <c r="G182" s="1"/>
      <c r="H182" t="s">
        <v>15</v>
      </c>
      <c r="I182" s="2">
        <v>44927</v>
      </c>
      <c r="J182">
        <v>836.94</v>
      </c>
      <c r="K182">
        <v>76.2</v>
      </c>
      <c r="L182" t="s">
        <v>20</v>
      </c>
      <c r="M182">
        <f t="shared" si="6"/>
        <v>0</v>
      </c>
      <c r="N182">
        <f t="shared" si="7"/>
        <v>0</v>
      </c>
      <c r="O182">
        <f t="shared" si="8"/>
        <v>0</v>
      </c>
    </row>
    <row r="183" spans="1:15" x14ac:dyDescent="0.2">
      <c r="A183" t="s">
        <v>29</v>
      </c>
      <c r="B183">
        <v>60563</v>
      </c>
      <c r="C183" t="s">
        <v>13</v>
      </c>
      <c r="D183" t="s">
        <v>22</v>
      </c>
      <c r="E183" s="3">
        <v>44816</v>
      </c>
      <c r="F183" t="s">
        <v>15</v>
      </c>
      <c r="G183" s="1"/>
      <c r="H183" t="s">
        <v>15</v>
      </c>
      <c r="I183" s="2">
        <v>44958</v>
      </c>
      <c r="J183">
        <v>661.6</v>
      </c>
      <c r="K183">
        <v>73.7</v>
      </c>
      <c r="L183" t="s">
        <v>20</v>
      </c>
      <c r="M183">
        <f t="shared" si="6"/>
        <v>0</v>
      </c>
      <c r="N183">
        <f t="shared" si="7"/>
        <v>0</v>
      </c>
      <c r="O183">
        <f t="shared" si="8"/>
        <v>0</v>
      </c>
    </row>
    <row r="184" spans="1:15" x14ac:dyDescent="0.2">
      <c r="A184" t="s">
        <v>29</v>
      </c>
      <c r="B184">
        <v>60563</v>
      </c>
      <c r="C184" t="s">
        <v>13</v>
      </c>
      <c r="D184" t="s">
        <v>22</v>
      </c>
      <c r="E184" s="3">
        <v>44816</v>
      </c>
      <c r="F184" t="s">
        <v>15</v>
      </c>
      <c r="G184" s="1"/>
      <c r="H184" t="s">
        <v>15</v>
      </c>
      <c r="I184" s="2">
        <v>44986</v>
      </c>
      <c r="J184">
        <v>874.92</v>
      </c>
      <c r="K184">
        <v>52.8</v>
      </c>
      <c r="L184" t="s">
        <v>16</v>
      </c>
      <c r="M184">
        <f t="shared" si="6"/>
        <v>0</v>
      </c>
      <c r="N184">
        <f t="shared" si="7"/>
        <v>0</v>
      </c>
      <c r="O184">
        <f t="shared" si="8"/>
        <v>0</v>
      </c>
    </row>
    <row r="185" spans="1:15" x14ac:dyDescent="0.2">
      <c r="A185" t="s">
        <v>29</v>
      </c>
      <c r="B185">
        <v>60563</v>
      </c>
      <c r="C185" t="s">
        <v>13</v>
      </c>
      <c r="D185" t="s">
        <v>22</v>
      </c>
      <c r="E185" s="3">
        <v>44816</v>
      </c>
      <c r="F185" t="s">
        <v>15</v>
      </c>
      <c r="G185" s="1"/>
      <c r="H185" t="s">
        <v>15</v>
      </c>
      <c r="I185" s="2">
        <v>45017</v>
      </c>
      <c r="J185">
        <v>779.4</v>
      </c>
      <c r="K185">
        <v>103.1</v>
      </c>
      <c r="L185" t="s">
        <v>20</v>
      </c>
      <c r="M185">
        <f t="shared" si="6"/>
        <v>0</v>
      </c>
      <c r="N185">
        <f t="shared" si="7"/>
        <v>0</v>
      </c>
      <c r="O185">
        <f t="shared" si="8"/>
        <v>0</v>
      </c>
    </row>
    <row r="186" spans="1:15" x14ac:dyDescent="0.2">
      <c r="A186" t="s">
        <v>29</v>
      </c>
      <c r="B186">
        <v>60563</v>
      </c>
      <c r="C186" t="s">
        <v>13</v>
      </c>
      <c r="D186" t="s">
        <v>22</v>
      </c>
      <c r="E186" s="3">
        <v>44816</v>
      </c>
      <c r="F186" t="s">
        <v>15</v>
      </c>
      <c r="G186" s="1"/>
      <c r="H186" t="s">
        <v>15</v>
      </c>
      <c r="I186" s="2">
        <v>45047</v>
      </c>
      <c r="J186">
        <v>745.75</v>
      </c>
      <c r="K186">
        <v>40.6</v>
      </c>
      <c r="L186" t="s">
        <v>16</v>
      </c>
      <c r="M186">
        <f t="shared" si="6"/>
        <v>0</v>
      </c>
      <c r="N186">
        <f t="shared" si="7"/>
        <v>0</v>
      </c>
      <c r="O186">
        <f t="shared" si="8"/>
        <v>0</v>
      </c>
    </row>
    <row r="187" spans="1:15" x14ac:dyDescent="0.2">
      <c r="A187" t="s">
        <v>29</v>
      </c>
      <c r="B187">
        <v>60563</v>
      </c>
      <c r="C187" t="s">
        <v>13</v>
      </c>
      <c r="D187" t="s">
        <v>22</v>
      </c>
      <c r="E187" s="3">
        <v>44816</v>
      </c>
      <c r="F187" t="s">
        <v>15</v>
      </c>
      <c r="G187" s="1"/>
      <c r="H187" t="s">
        <v>15</v>
      </c>
      <c r="I187" s="2">
        <v>45078</v>
      </c>
      <c r="J187">
        <v>580.64</v>
      </c>
      <c r="K187">
        <v>76</v>
      </c>
      <c r="L187" t="s">
        <v>20</v>
      </c>
      <c r="M187">
        <f t="shared" si="6"/>
        <v>0</v>
      </c>
      <c r="N187">
        <f t="shared" si="7"/>
        <v>0</v>
      </c>
      <c r="O187">
        <f t="shared" si="8"/>
        <v>0</v>
      </c>
    </row>
    <row r="188" spans="1:15" x14ac:dyDescent="0.2">
      <c r="A188" t="s">
        <v>29</v>
      </c>
      <c r="B188">
        <v>60563</v>
      </c>
      <c r="C188" t="s">
        <v>13</v>
      </c>
      <c r="D188" t="s">
        <v>22</v>
      </c>
      <c r="E188" s="3">
        <v>44816</v>
      </c>
      <c r="F188" t="s">
        <v>15</v>
      </c>
      <c r="G188" s="1"/>
      <c r="H188" t="s">
        <v>15</v>
      </c>
      <c r="I188" s="2">
        <v>45108</v>
      </c>
      <c r="J188">
        <v>793.52</v>
      </c>
      <c r="K188">
        <v>38.9</v>
      </c>
      <c r="L188" t="s">
        <v>19</v>
      </c>
      <c r="M188">
        <f t="shared" si="6"/>
        <v>0</v>
      </c>
      <c r="N188">
        <f t="shared" si="7"/>
        <v>0</v>
      </c>
      <c r="O188">
        <f t="shared" si="8"/>
        <v>0</v>
      </c>
    </row>
    <row r="189" spans="1:15" x14ac:dyDescent="0.2">
      <c r="A189" t="s">
        <v>29</v>
      </c>
      <c r="B189">
        <v>60563</v>
      </c>
      <c r="C189" t="s">
        <v>13</v>
      </c>
      <c r="D189" t="s">
        <v>22</v>
      </c>
      <c r="E189" s="3">
        <v>44816</v>
      </c>
      <c r="F189" t="s">
        <v>15</v>
      </c>
      <c r="G189" s="1"/>
      <c r="H189" t="s">
        <v>15</v>
      </c>
      <c r="I189" s="2">
        <v>45139</v>
      </c>
      <c r="J189">
        <v>650.62</v>
      </c>
      <c r="K189">
        <v>80</v>
      </c>
      <c r="L189" t="s">
        <v>20</v>
      </c>
      <c r="M189">
        <f t="shared" si="6"/>
        <v>0</v>
      </c>
      <c r="N189">
        <f t="shared" si="7"/>
        <v>0</v>
      </c>
      <c r="O189">
        <f t="shared" si="8"/>
        <v>0</v>
      </c>
    </row>
    <row r="190" spans="1:15" x14ac:dyDescent="0.2">
      <c r="A190" t="s">
        <v>29</v>
      </c>
      <c r="B190">
        <v>60563</v>
      </c>
      <c r="C190" t="s">
        <v>13</v>
      </c>
      <c r="D190" t="s">
        <v>22</v>
      </c>
      <c r="E190" s="3">
        <v>44816</v>
      </c>
      <c r="F190" t="s">
        <v>15</v>
      </c>
      <c r="G190" s="1"/>
      <c r="H190" t="s">
        <v>15</v>
      </c>
      <c r="I190" s="2">
        <v>45170</v>
      </c>
      <c r="J190">
        <v>580.55999999999995</v>
      </c>
      <c r="K190">
        <v>84.9</v>
      </c>
      <c r="L190" t="s">
        <v>20</v>
      </c>
      <c r="M190">
        <f t="shared" si="6"/>
        <v>0</v>
      </c>
      <c r="N190">
        <f t="shared" si="7"/>
        <v>0</v>
      </c>
      <c r="O190">
        <f t="shared" si="8"/>
        <v>0</v>
      </c>
    </row>
    <row r="191" spans="1:15" x14ac:dyDescent="0.2">
      <c r="A191" t="s">
        <v>29</v>
      </c>
      <c r="B191">
        <v>60563</v>
      </c>
      <c r="C191" t="s">
        <v>13</v>
      </c>
      <c r="D191" t="s">
        <v>22</v>
      </c>
      <c r="E191" s="3">
        <v>44816</v>
      </c>
      <c r="F191" t="s">
        <v>15</v>
      </c>
      <c r="G191" s="1"/>
      <c r="H191" t="s">
        <v>15</v>
      </c>
      <c r="I191" s="2">
        <v>45200</v>
      </c>
      <c r="J191">
        <v>751.28</v>
      </c>
      <c r="K191">
        <v>80.8</v>
      </c>
      <c r="L191" t="s">
        <v>20</v>
      </c>
      <c r="M191">
        <f t="shared" si="6"/>
        <v>0</v>
      </c>
      <c r="N191">
        <f t="shared" si="7"/>
        <v>0</v>
      </c>
      <c r="O191">
        <f t="shared" si="8"/>
        <v>0</v>
      </c>
    </row>
    <row r="192" spans="1:15" x14ac:dyDescent="0.2">
      <c r="A192" t="s">
        <v>29</v>
      </c>
      <c r="B192">
        <v>60563</v>
      </c>
      <c r="C192" t="s">
        <v>13</v>
      </c>
      <c r="D192" t="s">
        <v>22</v>
      </c>
      <c r="E192" s="3">
        <v>44816</v>
      </c>
      <c r="F192" t="s">
        <v>15</v>
      </c>
      <c r="G192" s="1"/>
      <c r="H192" t="s">
        <v>15</v>
      </c>
      <c r="I192" s="2">
        <v>45231</v>
      </c>
      <c r="J192">
        <v>561.21</v>
      </c>
      <c r="K192">
        <v>46.5</v>
      </c>
      <c r="L192" t="s">
        <v>16</v>
      </c>
      <c r="M192">
        <f t="shared" si="6"/>
        <v>0</v>
      </c>
      <c r="N192">
        <f t="shared" si="7"/>
        <v>0</v>
      </c>
      <c r="O192">
        <f t="shared" si="8"/>
        <v>0</v>
      </c>
    </row>
    <row r="193" spans="1:15" x14ac:dyDescent="0.2">
      <c r="A193" t="s">
        <v>29</v>
      </c>
      <c r="B193">
        <v>60563</v>
      </c>
      <c r="C193" t="s">
        <v>13</v>
      </c>
      <c r="D193" t="s">
        <v>22</v>
      </c>
      <c r="E193" s="3">
        <v>44816</v>
      </c>
      <c r="F193" t="s">
        <v>15</v>
      </c>
      <c r="G193" s="1"/>
      <c r="H193" t="s">
        <v>15</v>
      </c>
      <c r="I193" s="2">
        <v>45261</v>
      </c>
      <c r="J193">
        <v>623.78</v>
      </c>
      <c r="K193">
        <v>29.2</v>
      </c>
      <c r="L193" t="s">
        <v>19</v>
      </c>
      <c r="M193">
        <f t="shared" si="6"/>
        <v>0</v>
      </c>
      <c r="N193">
        <f t="shared" si="7"/>
        <v>0</v>
      </c>
      <c r="O193">
        <f t="shared" si="8"/>
        <v>0</v>
      </c>
    </row>
    <row r="194" spans="1:15" x14ac:dyDescent="0.2">
      <c r="A194" t="s">
        <v>30</v>
      </c>
      <c r="B194">
        <v>60563</v>
      </c>
      <c r="C194" t="s">
        <v>28</v>
      </c>
      <c r="D194" t="s">
        <v>14</v>
      </c>
      <c r="E194" s="3">
        <v>44821</v>
      </c>
      <c r="F194" t="s">
        <v>15</v>
      </c>
      <c r="G194" s="1"/>
      <c r="H194" t="s">
        <v>15</v>
      </c>
      <c r="I194" s="2">
        <v>44562</v>
      </c>
      <c r="J194">
        <v>798.99</v>
      </c>
      <c r="K194">
        <v>43</v>
      </c>
      <c r="L194" t="s">
        <v>16</v>
      </c>
      <c r="M194">
        <f t="shared" ref="M194:M257" si="9">SUMIFS(J194,I194, "&lt;" &amp;G194,I194,"&lt;&gt;",G194,"&lt;&gt;")</f>
        <v>0</v>
      </c>
      <c r="N194">
        <f t="shared" ref="N194:N257" si="10">SUMIFS(J194,I194, "&gt;=" &amp;G194,I194,"&lt;&gt;",G194,"&lt;&gt;")</f>
        <v>0</v>
      </c>
      <c r="O194">
        <f t="shared" ref="O194:O257" si="11">SUM(M194-N194)</f>
        <v>0</v>
      </c>
    </row>
    <row r="195" spans="1:15" x14ac:dyDescent="0.2">
      <c r="A195" t="s">
        <v>30</v>
      </c>
      <c r="B195">
        <v>60563</v>
      </c>
      <c r="C195" t="s">
        <v>28</v>
      </c>
      <c r="D195" t="s">
        <v>14</v>
      </c>
      <c r="E195" s="3">
        <v>44821</v>
      </c>
      <c r="F195" t="s">
        <v>15</v>
      </c>
      <c r="G195" s="1"/>
      <c r="H195" t="s">
        <v>15</v>
      </c>
      <c r="I195" s="2">
        <v>44593</v>
      </c>
      <c r="J195">
        <v>1021.84</v>
      </c>
      <c r="K195">
        <v>26.4</v>
      </c>
      <c r="L195" t="s">
        <v>19</v>
      </c>
      <c r="M195">
        <f t="shared" si="9"/>
        <v>0</v>
      </c>
      <c r="N195">
        <f t="shared" si="10"/>
        <v>0</v>
      </c>
      <c r="O195">
        <f t="shared" si="11"/>
        <v>0</v>
      </c>
    </row>
    <row r="196" spans="1:15" x14ac:dyDescent="0.2">
      <c r="A196" t="s">
        <v>30</v>
      </c>
      <c r="B196">
        <v>60563</v>
      </c>
      <c r="C196" t="s">
        <v>28</v>
      </c>
      <c r="D196" t="s">
        <v>14</v>
      </c>
      <c r="E196" s="3">
        <v>44821</v>
      </c>
      <c r="F196" t="s">
        <v>15</v>
      </c>
      <c r="G196" s="1"/>
      <c r="H196" t="s">
        <v>15</v>
      </c>
      <c r="I196" s="2">
        <v>44621</v>
      </c>
      <c r="J196">
        <v>731.31</v>
      </c>
      <c r="K196">
        <v>29.5</v>
      </c>
      <c r="L196" t="s">
        <v>19</v>
      </c>
      <c r="M196">
        <f t="shared" si="9"/>
        <v>0</v>
      </c>
      <c r="N196">
        <f t="shared" si="10"/>
        <v>0</v>
      </c>
      <c r="O196">
        <f t="shared" si="11"/>
        <v>0</v>
      </c>
    </row>
    <row r="197" spans="1:15" x14ac:dyDescent="0.2">
      <c r="A197" t="s">
        <v>30</v>
      </c>
      <c r="B197">
        <v>60563</v>
      </c>
      <c r="C197" t="s">
        <v>28</v>
      </c>
      <c r="D197" t="s">
        <v>14</v>
      </c>
      <c r="E197" s="3">
        <v>44821</v>
      </c>
      <c r="F197" t="s">
        <v>15</v>
      </c>
      <c r="G197" s="1"/>
      <c r="H197" t="s">
        <v>15</v>
      </c>
      <c r="I197" s="2">
        <v>44652</v>
      </c>
      <c r="J197">
        <v>754.18</v>
      </c>
      <c r="K197">
        <v>50.8</v>
      </c>
      <c r="L197" t="s">
        <v>16</v>
      </c>
      <c r="M197">
        <f t="shared" si="9"/>
        <v>0</v>
      </c>
      <c r="N197">
        <f t="shared" si="10"/>
        <v>0</v>
      </c>
      <c r="O197">
        <f t="shared" si="11"/>
        <v>0</v>
      </c>
    </row>
    <row r="198" spans="1:15" x14ac:dyDescent="0.2">
      <c r="A198" t="s">
        <v>30</v>
      </c>
      <c r="B198">
        <v>60563</v>
      </c>
      <c r="C198" t="s">
        <v>28</v>
      </c>
      <c r="D198" t="s">
        <v>14</v>
      </c>
      <c r="E198" s="3">
        <v>44821</v>
      </c>
      <c r="F198" t="s">
        <v>15</v>
      </c>
      <c r="G198" s="1"/>
      <c r="H198" t="s">
        <v>15</v>
      </c>
      <c r="I198" s="2">
        <v>44682</v>
      </c>
      <c r="J198">
        <v>873.23</v>
      </c>
      <c r="K198">
        <v>46.3</v>
      </c>
      <c r="L198" t="s">
        <v>16</v>
      </c>
      <c r="M198">
        <f t="shared" si="9"/>
        <v>0</v>
      </c>
      <c r="N198">
        <f t="shared" si="10"/>
        <v>0</v>
      </c>
      <c r="O198">
        <f t="shared" si="11"/>
        <v>0</v>
      </c>
    </row>
    <row r="199" spans="1:15" x14ac:dyDescent="0.2">
      <c r="A199" t="s">
        <v>30</v>
      </c>
      <c r="B199">
        <v>60563</v>
      </c>
      <c r="C199" t="s">
        <v>28</v>
      </c>
      <c r="D199" t="s">
        <v>14</v>
      </c>
      <c r="E199" s="3">
        <v>44821</v>
      </c>
      <c r="F199" t="s">
        <v>15</v>
      </c>
      <c r="G199" s="1"/>
      <c r="H199" t="s">
        <v>15</v>
      </c>
      <c r="I199" s="2">
        <v>44713</v>
      </c>
      <c r="J199">
        <v>676.17</v>
      </c>
      <c r="K199">
        <v>61.1</v>
      </c>
      <c r="L199" t="s">
        <v>16</v>
      </c>
      <c r="M199">
        <f t="shared" si="9"/>
        <v>0</v>
      </c>
      <c r="N199">
        <f t="shared" si="10"/>
        <v>0</v>
      </c>
      <c r="O199">
        <f t="shared" si="11"/>
        <v>0</v>
      </c>
    </row>
    <row r="200" spans="1:15" x14ac:dyDescent="0.2">
      <c r="A200" t="s">
        <v>30</v>
      </c>
      <c r="B200">
        <v>60563</v>
      </c>
      <c r="C200" t="s">
        <v>28</v>
      </c>
      <c r="D200" t="s">
        <v>14</v>
      </c>
      <c r="E200" s="3">
        <v>44821</v>
      </c>
      <c r="F200" t="s">
        <v>15</v>
      </c>
      <c r="G200" s="1"/>
      <c r="H200" t="s">
        <v>15</v>
      </c>
      <c r="I200" s="2">
        <v>44743</v>
      </c>
      <c r="J200">
        <v>844.28</v>
      </c>
      <c r="K200">
        <v>27.4</v>
      </c>
      <c r="L200" t="s">
        <v>19</v>
      </c>
      <c r="M200">
        <f t="shared" si="9"/>
        <v>0</v>
      </c>
      <c r="N200">
        <f t="shared" si="10"/>
        <v>0</v>
      </c>
      <c r="O200">
        <f t="shared" si="11"/>
        <v>0</v>
      </c>
    </row>
    <row r="201" spans="1:15" x14ac:dyDescent="0.2">
      <c r="A201" t="s">
        <v>30</v>
      </c>
      <c r="B201">
        <v>60563</v>
      </c>
      <c r="C201" t="s">
        <v>28</v>
      </c>
      <c r="D201" t="s">
        <v>14</v>
      </c>
      <c r="E201" s="3">
        <v>44821</v>
      </c>
      <c r="F201" t="s">
        <v>15</v>
      </c>
      <c r="G201" s="1"/>
      <c r="H201" t="s">
        <v>15</v>
      </c>
      <c r="I201" s="2">
        <v>44774</v>
      </c>
      <c r="J201">
        <v>920.59</v>
      </c>
      <c r="K201">
        <v>54.2</v>
      </c>
      <c r="L201" t="s">
        <v>16</v>
      </c>
      <c r="M201">
        <f t="shared" si="9"/>
        <v>0</v>
      </c>
      <c r="N201">
        <f t="shared" si="10"/>
        <v>0</v>
      </c>
      <c r="O201">
        <f t="shared" si="11"/>
        <v>0</v>
      </c>
    </row>
    <row r="202" spans="1:15" x14ac:dyDescent="0.2">
      <c r="A202" t="s">
        <v>30</v>
      </c>
      <c r="B202">
        <v>60563</v>
      </c>
      <c r="C202" t="s">
        <v>28</v>
      </c>
      <c r="D202" t="s">
        <v>14</v>
      </c>
      <c r="E202" s="3">
        <v>44821</v>
      </c>
      <c r="F202" t="s">
        <v>15</v>
      </c>
      <c r="G202" s="1"/>
      <c r="H202" t="s">
        <v>15</v>
      </c>
      <c r="I202" s="2">
        <v>44805</v>
      </c>
      <c r="J202">
        <v>769.29</v>
      </c>
      <c r="K202">
        <v>41.9</v>
      </c>
      <c r="L202" t="s">
        <v>16</v>
      </c>
      <c r="M202">
        <f t="shared" si="9"/>
        <v>0</v>
      </c>
      <c r="N202">
        <f t="shared" si="10"/>
        <v>0</v>
      </c>
      <c r="O202">
        <f t="shared" si="11"/>
        <v>0</v>
      </c>
    </row>
    <row r="203" spans="1:15" x14ac:dyDescent="0.2">
      <c r="A203" t="s">
        <v>30</v>
      </c>
      <c r="B203">
        <v>60563</v>
      </c>
      <c r="C203" t="s">
        <v>28</v>
      </c>
      <c r="D203" t="s">
        <v>14</v>
      </c>
      <c r="E203" s="3">
        <v>44821</v>
      </c>
      <c r="F203" t="s">
        <v>15</v>
      </c>
      <c r="G203" s="1"/>
      <c r="H203" t="s">
        <v>15</v>
      </c>
      <c r="I203" s="2">
        <v>44835</v>
      </c>
      <c r="J203">
        <v>902.62</v>
      </c>
      <c r="K203">
        <v>74.099999999999994</v>
      </c>
      <c r="L203" t="s">
        <v>20</v>
      </c>
      <c r="M203">
        <f t="shared" si="9"/>
        <v>0</v>
      </c>
      <c r="N203">
        <f t="shared" si="10"/>
        <v>0</v>
      </c>
      <c r="O203">
        <f t="shared" si="11"/>
        <v>0</v>
      </c>
    </row>
    <row r="204" spans="1:15" x14ac:dyDescent="0.2">
      <c r="A204" t="s">
        <v>30</v>
      </c>
      <c r="B204">
        <v>60563</v>
      </c>
      <c r="C204" t="s">
        <v>28</v>
      </c>
      <c r="D204" t="s">
        <v>14</v>
      </c>
      <c r="E204" s="3">
        <v>44821</v>
      </c>
      <c r="F204" t="s">
        <v>15</v>
      </c>
      <c r="G204" s="1"/>
      <c r="H204" t="s">
        <v>15</v>
      </c>
      <c r="I204" s="2">
        <v>44866</v>
      </c>
      <c r="J204">
        <v>829.14</v>
      </c>
      <c r="K204">
        <v>42.6</v>
      </c>
      <c r="L204" t="s">
        <v>16</v>
      </c>
      <c r="M204">
        <f t="shared" si="9"/>
        <v>0</v>
      </c>
      <c r="N204">
        <f t="shared" si="10"/>
        <v>0</v>
      </c>
      <c r="O204">
        <f t="shared" si="11"/>
        <v>0</v>
      </c>
    </row>
    <row r="205" spans="1:15" x14ac:dyDescent="0.2">
      <c r="A205" t="s">
        <v>30</v>
      </c>
      <c r="B205">
        <v>60563</v>
      </c>
      <c r="C205" t="s">
        <v>28</v>
      </c>
      <c r="D205" t="s">
        <v>14</v>
      </c>
      <c r="E205" s="3">
        <v>44821</v>
      </c>
      <c r="F205" t="s">
        <v>15</v>
      </c>
      <c r="G205" s="1"/>
      <c r="H205" t="s">
        <v>15</v>
      </c>
      <c r="I205" s="2">
        <v>44896</v>
      </c>
      <c r="J205">
        <v>726.93</v>
      </c>
      <c r="K205">
        <v>52.3</v>
      </c>
      <c r="L205" t="s">
        <v>16</v>
      </c>
      <c r="M205">
        <f t="shared" si="9"/>
        <v>0</v>
      </c>
      <c r="N205">
        <f t="shared" si="10"/>
        <v>0</v>
      </c>
      <c r="O205">
        <f t="shared" si="11"/>
        <v>0</v>
      </c>
    </row>
    <row r="206" spans="1:15" x14ac:dyDescent="0.2">
      <c r="A206" t="s">
        <v>30</v>
      </c>
      <c r="B206">
        <v>60563</v>
      </c>
      <c r="C206" t="s">
        <v>28</v>
      </c>
      <c r="D206" t="s">
        <v>14</v>
      </c>
      <c r="E206" s="3">
        <v>44821</v>
      </c>
      <c r="F206" t="s">
        <v>15</v>
      </c>
      <c r="G206" s="1"/>
      <c r="H206" t="s">
        <v>15</v>
      </c>
      <c r="I206" s="2">
        <v>44927</v>
      </c>
      <c r="J206">
        <v>680.22</v>
      </c>
      <c r="K206">
        <v>76.2</v>
      </c>
      <c r="L206" t="s">
        <v>20</v>
      </c>
      <c r="M206">
        <f t="shared" si="9"/>
        <v>0</v>
      </c>
      <c r="N206">
        <f t="shared" si="10"/>
        <v>0</v>
      </c>
      <c r="O206">
        <f t="shared" si="11"/>
        <v>0</v>
      </c>
    </row>
    <row r="207" spans="1:15" x14ac:dyDescent="0.2">
      <c r="A207" t="s">
        <v>30</v>
      </c>
      <c r="B207">
        <v>60563</v>
      </c>
      <c r="C207" t="s">
        <v>28</v>
      </c>
      <c r="D207" t="s">
        <v>14</v>
      </c>
      <c r="E207" s="3">
        <v>44821</v>
      </c>
      <c r="F207" t="s">
        <v>15</v>
      </c>
      <c r="G207" s="1"/>
      <c r="H207" t="s">
        <v>15</v>
      </c>
      <c r="I207" s="2">
        <v>44958</v>
      </c>
      <c r="J207">
        <v>662.02</v>
      </c>
      <c r="K207">
        <v>73.7</v>
      </c>
      <c r="L207" t="s">
        <v>20</v>
      </c>
      <c r="M207">
        <f t="shared" si="9"/>
        <v>0</v>
      </c>
      <c r="N207">
        <f t="shared" si="10"/>
        <v>0</v>
      </c>
      <c r="O207">
        <f t="shared" si="11"/>
        <v>0</v>
      </c>
    </row>
    <row r="208" spans="1:15" x14ac:dyDescent="0.2">
      <c r="A208" t="s">
        <v>30</v>
      </c>
      <c r="B208">
        <v>60563</v>
      </c>
      <c r="C208" t="s">
        <v>28</v>
      </c>
      <c r="D208" t="s">
        <v>14</v>
      </c>
      <c r="E208" s="3">
        <v>44821</v>
      </c>
      <c r="F208" t="s">
        <v>15</v>
      </c>
      <c r="G208" s="1"/>
      <c r="H208" t="s">
        <v>15</v>
      </c>
      <c r="I208" s="2">
        <v>44986</v>
      </c>
      <c r="J208">
        <v>691.24</v>
      </c>
      <c r="K208">
        <v>52.8</v>
      </c>
      <c r="L208" t="s">
        <v>16</v>
      </c>
      <c r="M208">
        <f t="shared" si="9"/>
        <v>0</v>
      </c>
      <c r="N208">
        <f t="shared" si="10"/>
        <v>0</v>
      </c>
      <c r="O208">
        <f t="shared" si="11"/>
        <v>0</v>
      </c>
    </row>
    <row r="209" spans="1:15" x14ac:dyDescent="0.2">
      <c r="A209" t="s">
        <v>30</v>
      </c>
      <c r="B209">
        <v>60563</v>
      </c>
      <c r="C209" t="s">
        <v>28</v>
      </c>
      <c r="D209" t="s">
        <v>14</v>
      </c>
      <c r="E209" s="3">
        <v>44821</v>
      </c>
      <c r="F209" t="s">
        <v>15</v>
      </c>
      <c r="G209" s="1"/>
      <c r="H209" t="s">
        <v>15</v>
      </c>
      <c r="I209" s="2">
        <v>45017</v>
      </c>
      <c r="J209">
        <v>715.27</v>
      </c>
      <c r="K209">
        <v>103.1</v>
      </c>
      <c r="L209" t="s">
        <v>20</v>
      </c>
      <c r="M209">
        <f t="shared" si="9"/>
        <v>0</v>
      </c>
      <c r="N209">
        <f t="shared" si="10"/>
        <v>0</v>
      </c>
      <c r="O209">
        <f t="shared" si="11"/>
        <v>0</v>
      </c>
    </row>
    <row r="210" spans="1:15" x14ac:dyDescent="0.2">
      <c r="A210" t="s">
        <v>30</v>
      </c>
      <c r="B210">
        <v>60563</v>
      </c>
      <c r="C210" t="s">
        <v>28</v>
      </c>
      <c r="D210" t="s">
        <v>14</v>
      </c>
      <c r="E210" s="3">
        <v>44821</v>
      </c>
      <c r="F210" t="s">
        <v>15</v>
      </c>
      <c r="G210" s="1"/>
      <c r="H210" t="s">
        <v>15</v>
      </c>
      <c r="I210" s="2">
        <v>45047</v>
      </c>
      <c r="J210">
        <v>758.82</v>
      </c>
      <c r="K210">
        <v>40.6</v>
      </c>
      <c r="L210" t="s">
        <v>16</v>
      </c>
      <c r="M210">
        <f t="shared" si="9"/>
        <v>0</v>
      </c>
      <c r="N210">
        <f t="shared" si="10"/>
        <v>0</v>
      </c>
      <c r="O210">
        <f t="shared" si="11"/>
        <v>0</v>
      </c>
    </row>
    <row r="211" spans="1:15" x14ac:dyDescent="0.2">
      <c r="A211" t="s">
        <v>30</v>
      </c>
      <c r="B211">
        <v>60563</v>
      </c>
      <c r="C211" t="s">
        <v>28</v>
      </c>
      <c r="D211" t="s">
        <v>14</v>
      </c>
      <c r="E211" s="3">
        <v>44821</v>
      </c>
      <c r="F211" t="s">
        <v>15</v>
      </c>
      <c r="G211" s="1"/>
      <c r="H211" t="s">
        <v>15</v>
      </c>
      <c r="I211" s="2">
        <v>45078</v>
      </c>
      <c r="J211">
        <v>750.87</v>
      </c>
      <c r="K211">
        <v>76</v>
      </c>
      <c r="L211" t="s">
        <v>20</v>
      </c>
      <c r="M211">
        <f t="shared" si="9"/>
        <v>0</v>
      </c>
      <c r="N211">
        <f t="shared" si="10"/>
        <v>0</v>
      </c>
      <c r="O211">
        <f t="shared" si="11"/>
        <v>0</v>
      </c>
    </row>
    <row r="212" spans="1:15" x14ac:dyDescent="0.2">
      <c r="A212" t="s">
        <v>30</v>
      </c>
      <c r="B212">
        <v>60563</v>
      </c>
      <c r="C212" t="s">
        <v>28</v>
      </c>
      <c r="D212" t="s">
        <v>14</v>
      </c>
      <c r="E212" s="3">
        <v>44821</v>
      </c>
      <c r="F212" t="s">
        <v>15</v>
      </c>
      <c r="G212" s="1"/>
      <c r="H212" t="s">
        <v>15</v>
      </c>
      <c r="I212" s="2">
        <v>45108</v>
      </c>
      <c r="J212">
        <v>456.83</v>
      </c>
      <c r="K212">
        <v>38.9</v>
      </c>
      <c r="L212" t="s">
        <v>19</v>
      </c>
      <c r="M212">
        <f t="shared" si="9"/>
        <v>0</v>
      </c>
      <c r="N212">
        <f t="shared" si="10"/>
        <v>0</v>
      </c>
      <c r="O212">
        <f t="shared" si="11"/>
        <v>0</v>
      </c>
    </row>
    <row r="213" spans="1:15" x14ac:dyDescent="0.2">
      <c r="A213" t="s">
        <v>30</v>
      </c>
      <c r="B213">
        <v>60563</v>
      </c>
      <c r="C213" t="s">
        <v>28</v>
      </c>
      <c r="D213" t="s">
        <v>14</v>
      </c>
      <c r="E213" s="3">
        <v>44821</v>
      </c>
      <c r="F213" t="s">
        <v>15</v>
      </c>
      <c r="G213" s="1"/>
      <c r="H213" t="s">
        <v>15</v>
      </c>
      <c r="I213" s="2">
        <v>45139</v>
      </c>
      <c r="J213">
        <v>690.27</v>
      </c>
      <c r="K213">
        <v>80</v>
      </c>
      <c r="L213" t="s">
        <v>20</v>
      </c>
      <c r="M213">
        <f t="shared" si="9"/>
        <v>0</v>
      </c>
      <c r="N213">
        <f t="shared" si="10"/>
        <v>0</v>
      </c>
      <c r="O213">
        <f t="shared" si="11"/>
        <v>0</v>
      </c>
    </row>
    <row r="214" spans="1:15" x14ac:dyDescent="0.2">
      <c r="A214" t="s">
        <v>30</v>
      </c>
      <c r="B214">
        <v>60563</v>
      </c>
      <c r="C214" t="s">
        <v>28</v>
      </c>
      <c r="D214" t="s">
        <v>14</v>
      </c>
      <c r="E214" s="3">
        <v>44821</v>
      </c>
      <c r="F214" t="s">
        <v>15</v>
      </c>
      <c r="G214" s="1"/>
      <c r="H214" t="s">
        <v>15</v>
      </c>
      <c r="I214" s="2">
        <v>45170</v>
      </c>
      <c r="J214">
        <v>549.05999999999995</v>
      </c>
      <c r="K214">
        <v>84.9</v>
      </c>
      <c r="L214" t="s">
        <v>20</v>
      </c>
      <c r="M214">
        <f t="shared" si="9"/>
        <v>0</v>
      </c>
      <c r="N214">
        <f t="shared" si="10"/>
        <v>0</v>
      </c>
      <c r="O214">
        <f t="shared" si="11"/>
        <v>0</v>
      </c>
    </row>
    <row r="215" spans="1:15" x14ac:dyDescent="0.2">
      <c r="A215" t="s">
        <v>30</v>
      </c>
      <c r="B215">
        <v>60563</v>
      </c>
      <c r="C215" t="s">
        <v>28</v>
      </c>
      <c r="D215" t="s">
        <v>14</v>
      </c>
      <c r="E215" s="3">
        <v>44821</v>
      </c>
      <c r="F215" t="s">
        <v>15</v>
      </c>
      <c r="G215" s="1"/>
      <c r="H215" t="s">
        <v>15</v>
      </c>
      <c r="I215" s="2">
        <v>45200</v>
      </c>
      <c r="J215">
        <v>672.43</v>
      </c>
      <c r="K215">
        <v>80.8</v>
      </c>
      <c r="L215" t="s">
        <v>20</v>
      </c>
      <c r="M215">
        <f t="shared" si="9"/>
        <v>0</v>
      </c>
      <c r="N215">
        <f t="shared" si="10"/>
        <v>0</v>
      </c>
      <c r="O215">
        <f t="shared" si="11"/>
        <v>0</v>
      </c>
    </row>
    <row r="216" spans="1:15" x14ac:dyDescent="0.2">
      <c r="A216" t="s">
        <v>30</v>
      </c>
      <c r="B216">
        <v>60563</v>
      </c>
      <c r="C216" t="s">
        <v>28</v>
      </c>
      <c r="D216" t="s">
        <v>14</v>
      </c>
      <c r="E216" s="3">
        <v>44821</v>
      </c>
      <c r="F216" t="s">
        <v>15</v>
      </c>
      <c r="G216" s="1"/>
      <c r="H216" t="s">
        <v>15</v>
      </c>
      <c r="I216" s="2">
        <v>45231</v>
      </c>
      <c r="J216">
        <v>687.62</v>
      </c>
      <c r="K216">
        <v>46.5</v>
      </c>
      <c r="L216" t="s">
        <v>16</v>
      </c>
      <c r="M216">
        <f t="shared" si="9"/>
        <v>0</v>
      </c>
      <c r="N216">
        <f t="shared" si="10"/>
        <v>0</v>
      </c>
      <c r="O216">
        <f t="shared" si="11"/>
        <v>0</v>
      </c>
    </row>
    <row r="217" spans="1:15" x14ac:dyDescent="0.2">
      <c r="A217" t="s">
        <v>30</v>
      </c>
      <c r="B217">
        <v>60563</v>
      </c>
      <c r="C217" t="s">
        <v>28</v>
      </c>
      <c r="D217" t="s">
        <v>14</v>
      </c>
      <c r="E217" s="3">
        <v>44821</v>
      </c>
      <c r="F217" t="s">
        <v>15</v>
      </c>
      <c r="G217" s="1"/>
      <c r="H217" t="s">
        <v>15</v>
      </c>
      <c r="I217" s="2">
        <v>45261</v>
      </c>
      <c r="J217">
        <v>797.61</v>
      </c>
      <c r="K217">
        <v>29.2</v>
      </c>
      <c r="L217" t="s">
        <v>19</v>
      </c>
      <c r="M217">
        <f t="shared" si="9"/>
        <v>0</v>
      </c>
      <c r="N217">
        <f t="shared" si="10"/>
        <v>0</v>
      </c>
      <c r="O217">
        <f t="shared" si="11"/>
        <v>0</v>
      </c>
    </row>
    <row r="218" spans="1:15" x14ac:dyDescent="0.2">
      <c r="A218" t="s">
        <v>31</v>
      </c>
      <c r="B218">
        <v>60540</v>
      </c>
      <c r="C218" t="s">
        <v>13</v>
      </c>
      <c r="D218" t="s">
        <v>14</v>
      </c>
      <c r="E218" s="3">
        <v>44798</v>
      </c>
      <c r="F218" t="s">
        <v>15</v>
      </c>
      <c r="G218" s="1"/>
      <c r="H218" t="s">
        <v>15</v>
      </c>
      <c r="I218" s="2">
        <v>44562</v>
      </c>
      <c r="J218">
        <v>840.28</v>
      </c>
      <c r="K218">
        <v>43</v>
      </c>
      <c r="L218" t="s">
        <v>16</v>
      </c>
      <c r="M218">
        <f t="shared" si="9"/>
        <v>0</v>
      </c>
      <c r="N218">
        <f t="shared" si="10"/>
        <v>0</v>
      </c>
      <c r="O218">
        <f t="shared" si="11"/>
        <v>0</v>
      </c>
    </row>
    <row r="219" spans="1:15" x14ac:dyDescent="0.2">
      <c r="A219" t="s">
        <v>31</v>
      </c>
      <c r="B219">
        <v>60540</v>
      </c>
      <c r="C219" t="s">
        <v>13</v>
      </c>
      <c r="D219" t="s">
        <v>14</v>
      </c>
      <c r="E219" s="3">
        <v>44798</v>
      </c>
      <c r="F219" t="s">
        <v>15</v>
      </c>
      <c r="G219" s="1"/>
      <c r="H219" t="s">
        <v>15</v>
      </c>
      <c r="I219" s="2">
        <v>44593</v>
      </c>
      <c r="J219">
        <v>868.99</v>
      </c>
      <c r="K219">
        <v>26.4</v>
      </c>
      <c r="L219" t="s">
        <v>19</v>
      </c>
      <c r="M219">
        <f t="shared" si="9"/>
        <v>0</v>
      </c>
      <c r="N219">
        <f t="shared" si="10"/>
        <v>0</v>
      </c>
      <c r="O219">
        <f t="shared" si="11"/>
        <v>0</v>
      </c>
    </row>
    <row r="220" spans="1:15" x14ac:dyDescent="0.2">
      <c r="A220" t="s">
        <v>31</v>
      </c>
      <c r="B220">
        <v>60540</v>
      </c>
      <c r="C220" t="s">
        <v>13</v>
      </c>
      <c r="D220" t="s">
        <v>14</v>
      </c>
      <c r="E220" s="3">
        <v>44798</v>
      </c>
      <c r="F220" t="s">
        <v>15</v>
      </c>
      <c r="G220" s="1"/>
      <c r="H220" t="s">
        <v>15</v>
      </c>
      <c r="I220" s="2">
        <v>44621</v>
      </c>
      <c r="J220">
        <v>683.68</v>
      </c>
      <c r="K220">
        <v>29.5</v>
      </c>
      <c r="L220" t="s">
        <v>19</v>
      </c>
      <c r="M220">
        <f t="shared" si="9"/>
        <v>0</v>
      </c>
      <c r="N220">
        <f t="shared" si="10"/>
        <v>0</v>
      </c>
      <c r="O220">
        <f t="shared" si="11"/>
        <v>0</v>
      </c>
    </row>
    <row r="221" spans="1:15" x14ac:dyDescent="0.2">
      <c r="A221" t="s">
        <v>31</v>
      </c>
      <c r="B221">
        <v>60540</v>
      </c>
      <c r="C221" t="s">
        <v>13</v>
      </c>
      <c r="D221" t="s">
        <v>14</v>
      </c>
      <c r="E221" s="3">
        <v>44798</v>
      </c>
      <c r="F221" t="s">
        <v>15</v>
      </c>
      <c r="G221" s="1"/>
      <c r="H221" t="s">
        <v>15</v>
      </c>
      <c r="I221" s="2">
        <v>44652</v>
      </c>
      <c r="J221">
        <v>1056.4100000000001</v>
      </c>
      <c r="K221">
        <v>50.8</v>
      </c>
      <c r="L221" t="s">
        <v>16</v>
      </c>
      <c r="M221">
        <f t="shared" si="9"/>
        <v>0</v>
      </c>
      <c r="N221">
        <f t="shared" si="10"/>
        <v>0</v>
      </c>
      <c r="O221">
        <f t="shared" si="11"/>
        <v>0</v>
      </c>
    </row>
    <row r="222" spans="1:15" x14ac:dyDescent="0.2">
      <c r="A222" t="s">
        <v>31</v>
      </c>
      <c r="B222">
        <v>60540</v>
      </c>
      <c r="C222" t="s">
        <v>13</v>
      </c>
      <c r="D222" t="s">
        <v>14</v>
      </c>
      <c r="E222" s="3">
        <v>44798</v>
      </c>
      <c r="F222" t="s">
        <v>15</v>
      </c>
      <c r="G222" s="1"/>
      <c r="H222" t="s">
        <v>15</v>
      </c>
      <c r="I222" s="2">
        <v>44682</v>
      </c>
      <c r="J222">
        <v>678.42</v>
      </c>
      <c r="K222">
        <v>46.3</v>
      </c>
      <c r="L222" t="s">
        <v>16</v>
      </c>
      <c r="M222">
        <f t="shared" si="9"/>
        <v>0</v>
      </c>
      <c r="N222">
        <f t="shared" si="10"/>
        <v>0</v>
      </c>
      <c r="O222">
        <f t="shared" si="11"/>
        <v>0</v>
      </c>
    </row>
    <row r="223" spans="1:15" x14ac:dyDescent="0.2">
      <c r="A223" t="s">
        <v>31</v>
      </c>
      <c r="B223">
        <v>60540</v>
      </c>
      <c r="C223" t="s">
        <v>13</v>
      </c>
      <c r="D223" t="s">
        <v>14</v>
      </c>
      <c r="E223" s="3">
        <v>44798</v>
      </c>
      <c r="F223" t="s">
        <v>15</v>
      </c>
      <c r="G223" s="1"/>
      <c r="H223" t="s">
        <v>15</v>
      </c>
      <c r="I223" s="2">
        <v>44713</v>
      </c>
      <c r="J223">
        <v>815.42</v>
      </c>
      <c r="K223">
        <v>61.1</v>
      </c>
      <c r="L223" t="s">
        <v>16</v>
      </c>
      <c r="M223">
        <f t="shared" si="9"/>
        <v>0</v>
      </c>
      <c r="N223">
        <f t="shared" si="10"/>
        <v>0</v>
      </c>
      <c r="O223">
        <f t="shared" si="11"/>
        <v>0</v>
      </c>
    </row>
    <row r="224" spans="1:15" x14ac:dyDescent="0.2">
      <c r="A224" t="s">
        <v>31</v>
      </c>
      <c r="B224">
        <v>60540</v>
      </c>
      <c r="C224" t="s">
        <v>13</v>
      </c>
      <c r="D224" t="s">
        <v>14</v>
      </c>
      <c r="E224" s="3">
        <v>44798</v>
      </c>
      <c r="F224" t="s">
        <v>15</v>
      </c>
      <c r="G224" s="1"/>
      <c r="H224" t="s">
        <v>15</v>
      </c>
      <c r="I224" s="2">
        <v>44743</v>
      </c>
      <c r="J224">
        <v>784.13</v>
      </c>
      <c r="K224">
        <v>27.4</v>
      </c>
      <c r="L224" t="s">
        <v>19</v>
      </c>
      <c r="M224">
        <f t="shared" si="9"/>
        <v>0</v>
      </c>
      <c r="N224">
        <f t="shared" si="10"/>
        <v>0</v>
      </c>
      <c r="O224">
        <f t="shared" si="11"/>
        <v>0</v>
      </c>
    </row>
    <row r="225" spans="1:15" x14ac:dyDescent="0.2">
      <c r="A225" t="s">
        <v>31</v>
      </c>
      <c r="B225">
        <v>60540</v>
      </c>
      <c r="C225" t="s">
        <v>13</v>
      </c>
      <c r="D225" t="s">
        <v>14</v>
      </c>
      <c r="E225" s="3">
        <v>44798</v>
      </c>
      <c r="F225" t="s">
        <v>15</v>
      </c>
      <c r="G225" s="1"/>
      <c r="H225" t="s">
        <v>15</v>
      </c>
      <c r="I225" s="2">
        <v>44774</v>
      </c>
      <c r="J225">
        <v>681.34</v>
      </c>
      <c r="K225">
        <v>54.2</v>
      </c>
      <c r="L225" t="s">
        <v>16</v>
      </c>
      <c r="M225">
        <f t="shared" si="9"/>
        <v>0</v>
      </c>
      <c r="N225">
        <f t="shared" si="10"/>
        <v>0</v>
      </c>
      <c r="O225">
        <f t="shared" si="11"/>
        <v>0</v>
      </c>
    </row>
    <row r="226" spans="1:15" x14ac:dyDescent="0.2">
      <c r="A226" t="s">
        <v>31</v>
      </c>
      <c r="B226">
        <v>60540</v>
      </c>
      <c r="C226" t="s">
        <v>13</v>
      </c>
      <c r="D226" t="s">
        <v>14</v>
      </c>
      <c r="E226" s="3">
        <v>44798</v>
      </c>
      <c r="F226" t="s">
        <v>15</v>
      </c>
      <c r="G226" s="1"/>
      <c r="H226" t="s">
        <v>15</v>
      </c>
      <c r="I226" s="2">
        <v>44805</v>
      </c>
      <c r="J226">
        <v>762.98</v>
      </c>
      <c r="K226">
        <v>41.9</v>
      </c>
      <c r="L226" t="s">
        <v>16</v>
      </c>
      <c r="M226">
        <f t="shared" si="9"/>
        <v>0</v>
      </c>
      <c r="N226">
        <f t="shared" si="10"/>
        <v>0</v>
      </c>
      <c r="O226">
        <f t="shared" si="11"/>
        <v>0</v>
      </c>
    </row>
    <row r="227" spans="1:15" x14ac:dyDescent="0.2">
      <c r="A227" t="s">
        <v>31</v>
      </c>
      <c r="B227">
        <v>60540</v>
      </c>
      <c r="C227" t="s">
        <v>13</v>
      </c>
      <c r="D227" t="s">
        <v>14</v>
      </c>
      <c r="E227" s="3">
        <v>44798</v>
      </c>
      <c r="F227" t="s">
        <v>15</v>
      </c>
      <c r="G227" s="1"/>
      <c r="H227" t="s">
        <v>15</v>
      </c>
      <c r="I227" s="2">
        <v>44835</v>
      </c>
      <c r="J227">
        <v>802.33</v>
      </c>
      <c r="K227">
        <v>74.099999999999994</v>
      </c>
      <c r="L227" t="s">
        <v>20</v>
      </c>
      <c r="M227">
        <f t="shared" si="9"/>
        <v>0</v>
      </c>
      <c r="N227">
        <f t="shared" si="10"/>
        <v>0</v>
      </c>
      <c r="O227">
        <f t="shared" si="11"/>
        <v>0</v>
      </c>
    </row>
    <row r="228" spans="1:15" x14ac:dyDescent="0.2">
      <c r="A228" t="s">
        <v>31</v>
      </c>
      <c r="B228">
        <v>60540</v>
      </c>
      <c r="C228" t="s">
        <v>13</v>
      </c>
      <c r="D228" t="s">
        <v>14</v>
      </c>
      <c r="E228" s="3">
        <v>44798</v>
      </c>
      <c r="F228" t="s">
        <v>15</v>
      </c>
      <c r="G228" s="1"/>
      <c r="H228" t="s">
        <v>15</v>
      </c>
      <c r="I228" s="2">
        <v>44866</v>
      </c>
      <c r="J228">
        <v>735</v>
      </c>
      <c r="K228">
        <v>42.6</v>
      </c>
      <c r="L228" t="s">
        <v>16</v>
      </c>
      <c r="M228">
        <f t="shared" si="9"/>
        <v>0</v>
      </c>
      <c r="N228">
        <f t="shared" si="10"/>
        <v>0</v>
      </c>
      <c r="O228">
        <f t="shared" si="11"/>
        <v>0</v>
      </c>
    </row>
    <row r="229" spans="1:15" x14ac:dyDescent="0.2">
      <c r="A229" t="s">
        <v>31</v>
      </c>
      <c r="B229">
        <v>60540</v>
      </c>
      <c r="C229" t="s">
        <v>13</v>
      </c>
      <c r="D229" t="s">
        <v>14</v>
      </c>
      <c r="E229" s="3">
        <v>44798</v>
      </c>
      <c r="F229" t="s">
        <v>15</v>
      </c>
      <c r="G229" s="1"/>
      <c r="H229" t="s">
        <v>15</v>
      </c>
      <c r="I229" s="2">
        <v>44896</v>
      </c>
      <c r="J229">
        <v>893.72</v>
      </c>
      <c r="K229">
        <v>52.3</v>
      </c>
      <c r="L229" t="s">
        <v>16</v>
      </c>
      <c r="M229">
        <f t="shared" si="9"/>
        <v>0</v>
      </c>
      <c r="N229">
        <f t="shared" si="10"/>
        <v>0</v>
      </c>
      <c r="O229">
        <f t="shared" si="11"/>
        <v>0</v>
      </c>
    </row>
    <row r="230" spans="1:15" x14ac:dyDescent="0.2">
      <c r="A230" t="s">
        <v>31</v>
      </c>
      <c r="B230">
        <v>60540</v>
      </c>
      <c r="C230" t="s">
        <v>13</v>
      </c>
      <c r="D230" t="s">
        <v>14</v>
      </c>
      <c r="E230" s="3">
        <v>44798</v>
      </c>
      <c r="F230" t="s">
        <v>15</v>
      </c>
      <c r="G230" s="1"/>
      <c r="H230" t="s">
        <v>15</v>
      </c>
      <c r="I230" s="2">
        <v>44927</v>
      </c>
      <c r="J230">
        <v>683.84</v>
      </c>
      <c r="K230">
        <v>76.2</v>
      </c>
      <c r="L230" t="s">
        <v>20</v>
      </c>
      <c r="M230">
        <f t="shared" si="9"/>
        <v>0</v>
      </c>
      <c r="N230">
        <f t="shared" si="10"/>
        <v>0</v>
      </c>
      <c r="O230">
        <f t="shared" si="11"/>
        <v>0</v>
      </c>
    </row>
    <row r="231" spans="1:15" x14ac:dyDescent="0.2">
      <c r="A231" t="s">
        <v>31</v>
      </c>
      <c r="B231">
        <v>60540</v>
      </c>
      <c r="C231" t="s">
        <v>13</v>
      </c>
      <c r="D231" t="s">
        <v>14</v>
      </c>
      <c r="E231" s="3">
        <v>44798</v>
      </c>
      <c r="F231" t="s">
        <v>15</v>
      </c>
      <c r="G231" s="1"/>
      <c r="H231" t="s">
        <v>15</v>
      </c>
      <c r="I231" s="2">
        <v>44958</v>
      </c>
      <c r="J231">
        <v>565.87</v>
      </c>
      <c r="K231">
        <v>73.7</v>
      </c>
      <c r="L231" t="s">
        <v>20</v>
      </c>
      <c r="M231">
        <f t="shared" si="9"/>
        <v>0</v>
      </c>
      <c r="N231">
        <f t="shared" si="10"/>
        <v>0</v>
      </c>
      <c r="O231">
        <f t="shared" si="11"/>
        <v>0</v>
      </c>
    </row>
    <row r="232" spans="1:15" x14ac:dyDescent="0.2">
      <c r="A232" t="s">
        <v>31</v>
      </c>
      <c r="B232">
        <v>60540</v>
      </c>
      <c r="C232" t="s">
        <v>13</v>
      </c>
      <c r="D232" t="s">
        <v>14</v>
      </c>
      <c r="E232" s="3">
        <v>44798</v>
      </c>
      <c r="F232" t="s">
        <v>15</v>
      </c>
      <c r="G232" s="1"/>
      <c r="H232" t="s">
        <v>15</v>
      </c>
      <c r="I232" s="2">
        <v>44986</v>
      </c>
      <c r="J232">
        <v>557.39</v>
      </c>
      <c r="K232">
        <v>52.8</v>
      </c>
      <c r="L232" t="s">
        <v>16</v>
      </c>
      <c r="M232">
        <f t="shared" si="9"/>
        <v>0</v>
      </c>
      <c r="N232">
        <f t="shared" si="10"/>
        <v>0</v>
      </c>
      <c r="O232">
        <f t="shared" si="11"/>
        <v>0</v>
      </c>
    </row>
    <row r="233" spans="1:15" x14ac:dyDescent="0.2">
      <c r="A233" t="s">
        <v>31</v>
      </c>
      <c r="B233">
        <v>60540</v>
      </c>
      <c r="C233" t="s">
        <v>13</v>
      </c>
      <c r="D233" t="s">
        <v>14</v>
      </c>
      <c r="E233" s="3">
        <v>44798</v>
      </c>
      <c r="F233" t="s">
        <v>15</v>
      </c>
      <c r="G233" s="1"/>
      <c r="H233" t="s">
        <v>15</v>
      </c>
      <c r="I233" s="2">
        <v>45017</v>
      </c>
      <c r="J233">
        <v>760.62</v>
      </c>
      <c r="K233">
        <v>103.1</v>
      </c>
      <c r="L233" t="s">
        <v>20</v>
      </c>
      <c r="M233">
        <f t="shared" si="9"/>
        <v>0</v>
      </c>
      <c r="N233">
        <f t="shared" si="10"/>
        <v>0</v>
      </c>
      <c r="O233">
        <f t="shared" si="11"/>
        <v>0</v>
      </c>
    </row>
    <row r="234" spans="1:15" x14ac:dyDescent="0.2">
      <c r="A234" t="s">
        <v>31</v>
      </c>
      <c r="B234">
        <v>60540</v>
      </c>
      <c r="C234" t="s">
        <v>13</v>
      </c>
      <c r="D234" t="s">
        <v>14</v>
      </c>
      <c r="E234" s="3">
        <v>44798</v>
      </c>
      <c r="F234" t="s">
        <v>15</v>
      </c>
      <c r="G234" s="1"/>
      <c r="H234" t="s">
        <v>15</v>
      </c>
      <c r="I234" s="2">
        <v>45047</v>
      </c>
      <c r="J234">
        <v>551.32000000000005</v>
      </c>
      <c r="K234">
        <v>40.6</v>
      </c>
      <c r="L234" t="s">
        <v>16</v>
      </c>
      <c r="M234">
        <f t="shared" si="9"/>
        <v>0</v>
      </c>
      <c r="N234">
        <f t="shared" si="10"/>
        <v>0</v>
      </c>
      <c r="O234">
        <f t="shared" si="11"/>
        <v>0</v>
      </c>
    </row>
    <row r="235" spans="1:15" x14ac:dyDescent="0.2">
      <c r="A235" t="s">
        <v>31</v>
      </c>
      <c r="B235">
        <v>60540</v>
      </c>
      <c r="C235" t="s">
        <v>13</v>
      </c>
      <c r="D235" t="s">
        <v>14</v>
      </c>
      <c r="E235" s="3">
        <v>44798</v>
      </c>
      <c r="F235" t="s">
        <v>15</v>
      </c>
      <c r="G235" s="1"/>
      <c r="H235" t="s">
        <v>15</v>
      </c>
      <c r="I235" s="2">
        <v>45078</v>
      </c>
      <c r="J235">
        <v>731.64</v>
      </c>
      <c r="K235">
        <v>76</v>
      </c>
      <c r="L235" t="s">
        <v>20</v>
      </c>
      <c r="M235">
        <f t="shared" si="9"/>
        <v>0</v>
      </c>
      <c r="N235">
        <f t="shared" si="10"/>
        <v>0</v>
      </c>
      <c r="O235">
        <f t="shared" si="11"/>
        <v>0</v>
      </c>
    </row>
    <row r="236" spans="1:15" x14ac:dyDescent="0.2">
      <c r="A236" t="s">
        <v>31</v>
      </c>
      <c r="B236">
        <v>60540</v>
      </c>
      <c r="C236" t="s">
        <v>13</v>
      </c>
      <c r="D236" t="s">
        <v>14</v>
      </c>
      <c r="E236" s="3">
        <v>44798</v>
      </c>
      <c r="F236" t="s">
        <v>15</v>
      </c>
      <c r="G236" s="1"/>
      <c r="H236" t="s">
        <v>15</v>
      </c>
      <c r="I236" s="2">
        <v>45108</v>
      </c>
      <c r="J236">
        <v>744.47</v>
      </c>
      <c r="K236">
        <v>38.9</v>
      </c>
      <c r="L236" t="s">
        <v>19</v>
      </c>
      <c r="M236">
        <f t="shared" si="9"/>
        <v>0</v>
      </c>
      <c r="N236">
        <f t="shared" si="10"/>
        <v>0</v>
      </c>
      <c r="O236">
        <f t="shared" si="11"/>
        <v>0</v>
      </c>
    </row>
    <row r="237" spans="1:15" x14ac:dyDescent="0.2">
      <c r="A237" t="s">
        <v>31</v>
      </c>
      <c r="B237">
        <v>60540</v>
      </c>
      <c r="C237" t="s">
        <v>13</v>
      </c>
      <c r="D237" t="s">
        <v>14</v>
      </c>
      <c r="E237" s="3">
        <v>44798</v>
      </c>
      <c r="F237" t="s">
        <v>15</v>
      </c>
      <c r="G237" s="1"/>
      <c r="H237" t="s">
        <v>15</v>
      </c>
      <c r="I237" s="2">
        <v>45139</v>
      </c>
      <c r="J237">
        <v>600.46</v>
      </c>
      <c r="K237">
        <v>80</v>
      </c>
      <c r="L237" t="s">
        <v>20</v>
      </c>
      <c r="M237">
        <f t="shared" si="9"/>
        <v>0</v>
      </c>
      <c r="N237">
        <f t="shared" si="10"/>
        <v>0</v>
      </c>
      <c r="O237">
        <f t="shared" si="11"/>
        <v>0</v>
      </c>
    </row>
    <row r="238" spans="1:15" x14ac:dyDescent="0.2">
      <c r="A238" t="s">
        <v>31</v>
      </c>
      <c r="B238">
        <v>60540</v>
      </c>
      <c r="C238" t="s">
        <v>13</v>
      </c>
      <c r="D238" t="s">
        <v>14</v>
      </c>
      <c r="E238" s="3">
        <v>44798</v>
      </c>
      <c r="F238" t="s">
        <v>15</v>
      </c>
      <c r="G238" s="1"/>
      <c r="H238" t="s">
        <v>15</v>
      </c>
      <c r="I238" s="2">
        <v>45170</v>
      </c>
      <c r="J238">
        <v>789.07</v>
      </c>
      <c r="K238">
        <v>84.9</v>
      </c>
      <c r="L238" t="s">
        <v>20</v>
      </c>
      <c r="M238">
        <f t="shared" si="9"/>
        <v>0</v>
      </c>
      <c r="N238">
        <f t="shared" si="10"/>
        <v>0</v>
      </c>
      <c r="O238">
        <f t="shared" si="11"/>
        <v>0</v>
      </c>
    </row>
    <row r="239" spans="1:15" x14ac:dyDescent="0.2">
      <c r="A239" t="s">
        <v>31</v>
      </c>
      <c r="B239">
        <v>60540</v>
      </c>
      <c r="C239" t="s">
        <v>13</v>
      </c>
      <c r="D239" t="s">
        <v>14</v>
      </c>
      <c r="E239" s="3">
        <v>44798</v>
      </c>
      <c r="F239" t="s">
        <v>15</v>
      </c>
      <c r="G239" s="1"/>
      <c r="H239" t="s">
        <v>15</v>
      </c>
      <c r="I239" s="2">
        <v>45200</v>
      </c>
      <c r="J239">
        <v>528.22</v>
      </c>
      <c r="K239">
        <v>80.8</v>
      </c>
      <c r="L239" t="s">
        <v>20</v>
      </c>
      <c r="M239">
        <f t="shared" si="9"/>
        <v>0</v>
      </c>
      <c r="N239">
        <f t="shared" si="10"/>
        <v>0</v>
      </c>
      <c r="O239">
        <f t="shared" si="11"/>
        <v>0</v>
      </c>
    </row>
    <row r="240" spans="1:15" x14ac:dyDescent="0.2">
      <c r="A240" t="s">
        <v>31</v>
      </c>
      <c r="B240">
        <v>60540</v>
      </c>
      <c r="C240" t="s">
        <v>13</v>
      </c>
      <c r="D240" t="s">
        <v>14</v>
      </c>
      <c r="E240" s="3">
        <v>44798</v>
      </c>
      <c r="F240" t="s">
        <v>15</v>
      </c>
      <c r="G240" s="1"/>
      <c r="H240" t="s">
        <v>15</v>
      </c>
      <c r="I240" s="2">
        <v>45231</v>
      </c>
      <c r="J240">
        <v>729.65</v>
      </c>
      <c r="K240">
        <v>46.5</v>
      </c>
      <c r="L240" t="s">
        <v>16</v>
      </c>
      <c r="M240">
        <f t="shared" si="9"/>
        <v>0</v>
      </c>
      <c r="N240">
        <f t="shared" si="10"/>
        <v>0</v>
      </c>
      <c r="O240">
        <f t="shared" si="11"/>
        <v>0</v>
      </c>
    </row>
    <row r="241" spans="1:15" x14ac:dyDescent="0.2">
      <c r="A241" t="s">
        <v>31</v>
      </c>
      <c r="B241">
        <v>60540</v>
      </c>
      <c r="C241" t="s">
        <v>13</v>
      </c>
      <c r="D241" t="s">
        <v>14</v>
      </c>
      <c r="E241" s="3">
        <v>44798</v>
      </c>
      <c r="F241" t="s">
        <v>15</v>
      </c>
      <c r="G241" s="1"/>
      <c r="H241" t="s">
        <v>15</v>
      </c>
      <c r="I241" s="2">
        <v>45261</v>
      </c>
      <c r="J241">
        <v>695.91</v>
      </c>
      <c r="K241">
        <v>29.2</v>
      </c>
      <c r="L241" t="s">
        <v>19</v>
      </c>
      <c r="M241">
        <f t="shared" si="9"/>
        <v>0</v>
      </c>
      <c r="N241">
        <f t="shared" si="10"/>
        <v>0</v>
      </c>
      <c r="O241">
        <f t="shared" si="11"/>
        <v>0</v>
      </c>
    </row>
    <row r="242" spans="1:15" x14ac:dyDescent="0.2">
      <c r="A242" t="s">
        <v>32</v>
      </c>
      <c r="B242">
        <v>60564</v>
      </c>
      <c r="C242" t="s">
        <v>28</v>
      </c>
      <c r="D242" t="s">
        <v>14</v>
      </c>
      <c r="E242" s="3">
        <v>44602</v>
      </c>
      <c r="F242" t="s">
        <v>33</v>
      </c>
      <c r="G242" s="2">
        <v>44976</v>
      </c>
      <c r="H242" t="s">
        <v>34</v>
      </c>
      <c r="I242" s="2">
        <v>44562</v>
      </c>
      <c r="J242">
        <v>914.44</v>
      </c>
      <c r="K242">
        <v>43</v>
      </c>
      <c r="L242" t="s">
        <v>16</v>
      </c>
      <c r="M242">
        <f t="shared" si="9"/>
        <v>914.44</v>
      </c>
      <c r="N242">
        <f t="shared" si="10"/>
        <v>0</v>
      </c>
      <c r="O242">
        <f t="shared" si="11"/>
        <v>914.44</v>
      </c>
    </row>
    <row r="243" spans="1:15" x14ac:dyDescent="0.2">
      <c r="A243" t="s">
        <v>35</v>
      </c>
      <c r="B243">
        <v>60540</v>
      </c>
      <c r="C243" t="s">
        <v>28</v>
      </c>
      <c r="D243" t="s">
        <v>22</v>
      </c>
      <c r="E243" s="3">
        <v>44635</v>
      </c>
      <c r="F243" t="s">
        <v>36</v>
      </c>
      <c r="G243" s="2">
        <v>45023</v>
      </c>
      <c r="H243" t="s">
        <v>37</v>
      </c>
      <c r="I243" s="2">
        <v>44562</v>
      </c>
      <c r="J243">
        <v>884.02</v>
      </c>
      <c r="K243">
        <v>43</v>
      </c>
      <c r="L243" t="s">
        <v>16</v>
      </c>
      <c r="M243">
        <f t="shared" si="9"/>
        <v>884.02</v>
      </c>
      <c r="N243">
        <f t="shared" si="10"/>
        <v>0</v>
      </c>
      <c r="O243">
        <f t="shared" si="11"/>
        <v>884.02</v>
      </c>
    </row>
    <row r="244" spans="1:15" x14ac:dyDescent="0.2">
      <c r="A244" t="s">
        <v>38</v>
      </c>
      <c r="B244">
        <v>60563</v>
      </c>
      <c r="C244" t="s">
        <v>28</v>
      </c>
      <c r="D244" t="s">
        <v>18</v>
      </c>
      <c r="E244" s="3">
        <v>44767</v>
      </c>
      <c r="F244" t="s">
        <v>39</v>
      </c>
      <c r="G244" s="2">
        <v>45037</v>
      </c>
      <c r="H244" t="s">
        <v>40</v>
      </c>
      <c r="I244" s="2">
        <v>44562</v>
      </c>
      <c r="J244">
        <v>939.68</v>
      </c>
      <c r="K244">
        <v>43</v>
      </c>
      <c r="L244" t="s">
        <v>16</v>
      </c>
      <c r="M244">
        <f t="shared" si="9"/>
        <v>939.68</v>
      </c>
      <c r="N244">
        <f t="shared" si="10"/>
        <v>0</v>
      </c>
      <c r="O244">
        <f t="shared" si="11"/>
        <v>939.68</v>
      </c>
    </row>
    <row r="245" spans="1:15" x14ac:dyDescent="0.2">
      <c r="A245" t="s">
        <v>41</v>
      </c>
      <c r="B245">
        <v>60564</v>
      </c>
      <c r="C245" t="s">
        <v>28</v>
      </c>
      <c r="D245" t="s">
        <v>22</v>
      </c>
      <c r="E245" s="3">
        <v>44815</v>
      </c>
      <c r="F245" t="s">
        <v>36</v>
      </c>
      <c r="G245" s="2">
        <v>44928</v>
      </c>
      <c r="H245" t="s">
        <v>42</v>
      </c>
      <c r="I245" s="2">
        <v>44562</v>
      </c>
      <c r="J245">
        <v>837.56</v>
      </c>
      <c r="K245">
        <v>43</v>
      </c>
      <c r="L245" t="s">
        <v>16</v>
      </c>
      <c r="M245">
        <f t="shared" si="9"/>
        <v>837.56</v>
      </c>
      <c r="N245">
        <f t="shared" si="10"/>
        <v>0</v>
      </c>
      <c r="O245">
        <f t="shared" si="11"/>
        <v>837.56</v>
      </c>
    </row>
    <row r="246" spans="1:15" x14ac:dyDescent="0.2">
      <c r="A246" t="s">
        <v>43</v>
      </c>
      <c r="B246">
        <v>60564</v>
      </c>
      <c r="C246" t="s">
        <v>28</v>
      </c>
      <c r="D246" t="s">
        <v>18</v>
      </c>
      <c r="E246" s="3">
        <v>44759</v>
      </c>
      <c r="F246" t="s">
        <v>33</v>
      </c>
      <c r="G246" s="2">
        <v>45025</v>
      </c>
      <c r="H246" t="s">
        <v>44</v>
      </c>
      <c r="I246" s="2">
        <v>44562</v>
      </c>
      <c r="J246">
        <v>879.75</v>
      </c>
      <c r="K246">
        <v>43</v>
      </c>
      <c r="L246" t="s">
        <v>16</v>
      </c>
      <c r="M246">
        <f t="shared" si="9"/>
        <v>879.75</v>
      </c>
      <c r="N246">
        <f t="shared" si="10"/>
        <v>0</v>
      </c>
      <c r="O246">
        <f t="shared" si="11"/>
        <v>879.75</v>
      </c>
    </row>
    <row r="247" spans="1:15" x14ac:dyDescent="0.2">
      <c r="A247" t="s">
        <v>45</v>
      </c>
      <c r="B247">
        <v>60565</v>
      </c>
      <c r="C247" t="s">
        <v>28</v>
      </c>
      <c r="D247" t="s">
        <v>18</v>
      </c>
      <c r="E247" s="3">
        <v>44815</v>
      </c>
      <c r="F247" t="s">
        <v>46</v>
      </c>
      <c r="G247" s="2">
        <v>44968</v>
      </c>
      <c r="H247" t="s">
        <v>47</v>
      </c>
      <c r="I247" s="2">
        <v>44562</v>
      </c>
      <c r="J247">
        <v>712.45</v>
      </c>
      <c r="K247">
        <v>43</v>
      </c>
      <c r="L247" t="s">
        <v>16</v>
      </c>
      <c r="M247">
        <f t="shared" si="9"/>
        <v>712.45</v>
      </c>
      <c r="N247">
        <f t="shared" si="10"/>
        <v>0</v>
      </c>
      <c r="O247">
        <f t="shared" si="11"/>
        <v>712.45</v>
      </c>
    </row>
    <row r="248" spans="1:15" x14ac:dyDescent="0.2">
      <c r="A248" t="s">
        <v>48</v>
      </c>
      <c r="B248">
        <v>60564</v>
      </c>
      <c r="C248" t="s">
        <v>28</v>
      </c>
      <c r="D248" t="s">
        <v>22</v>
      </c>
      <c r="E248" s="3">
        <v>44789</v>
      </c>
      <c r="F248" t="s">
        <v>46</v>
      </c>
      <c r="G248" s="2">
        <v>44984</v>
      </c>
      <c r="H248" t="s">
        <v>49</v>
      </c>
      <c r="I248" s="2">
        <v>44562</v>
      </c>
      <c r="J248">
        <v>656.63</v>
      </c>
      <c r="K248">
        <v>43</v>
      </c>
      <c r="L248" t="s">
        <v>16</v>
      </c>
      <c r="M248">
        <f t="shared" si="9"/>
        <v>656.63</v>
      </c>
      <c r="N248">
        <f t="shared" si="10"/>
        <v>0</v>
      </c>
      <c r="O248">
        <f t="shared" si="11"/>
        <v>656.63</v>
      </c>
    </row>
    <row r="249" spans="1:15" x14ac:dyDescent="0.2">
      <c r="A249" t="s">
        <v>50</v>
      </c>
      <c r="B249">
        <v>60565</v>
      </c>
      <c r="C249" t="s">
        <v>28</v>
      </c>
      <c r="D249" t="s">
        <v>18</v>
      </c>
      <c r="E249" s="3">
        <v>44641</v>
      </c>
      <c r="F249" t="s">
        <v>33</v>
      </c>
      <c r="G249" s="2">
        <v>44804</v>
      </c>
      <c r="H249" t="s">
        <v>51</v>
      </c>
      <c r="I249" s="2">
        <v>44562</v>
      </c>
      <c r="J249">
        <v>854.1</v>
      </c>
      <c r="K249">
        <v>43</v>
      </c>
      <c r="L249" t="s">
        <v>16</v>
      </c>
      <c r="M249">
        <f t="shared" si="9"/>
        <v>854.1</v>
      </c>
      <c r="N249">
        <f t="shared" si="10"/>
        <v>0</v>
      </c>
      <c r="O249">
        <f t="shared" si="11"/>
        <v>854.1</v>
      </c>
    </row>
    <row r="250" spans="1:15" x14ac:dyDescent="0.2">
      <c r="A250" t="s">
        <v>32</v>
      </c>
      <c r="B250">
        <v>60564</v>
      </c>
      <c r="C250" t="s">
        <v>28</v>
      </c>
      <c r="D250" t="s">
        <v>14</v>
      </c>
      <c r="E250" s="3">
        <v>44602</v>
      </c>
      <c r="F250" t="s">
        <v>33</v>
      </c>
      <c r="G250" s="2">
        <v>44976</v>
      </c>
      <c r="H250" t="s">
        <v>34</v>
      </c>
      <c r="I250" s="2">
        <v>44593</v>
      </c>
      <c r="J250">
        <v>885.79</v>
      </c>
      <c r="K250">
        <v>26.4</v>
      </c>
      <c r="L250" t="s">
        <v>19</v>
      </c>
      <c r="M250">
        <f t="shared" si="9"/>
        <v>885.79</v>
      </c>
      <c r="N250">
        <f t="shared" si="10"/>
        <v>0</v>
      </c>
      <c r="O250">
        <f t="shared" si="11"/>
        <v>885.79</v>
      </c>
    </row>
    <row r="251" spans="1:15" x14ac:dyDescent="0.2">
      <c r="A251" t="s">
        <v>35</v>
      </c>
      <c r="B251">
        <v>60540</v>
      </c>
      <c r="C251" t="s">
        <v>28</v>
      </c>
      <c r="D251" t="s">
        <v>22</v>
      </c>
      <c r="E251" s="3">
        <v>44635</v>
      </c>
      <c r="F251" t="s">
        <v>36</v>
      </c>
      <c r="G251" s="2">
        <v>45023</v>
      </c>
      <c r="H251" t="s">
        <v>37</v>
      </c>
      <c r="I251" s="2">
        <v>44593</v>
      </c>
      <c r="J251">
        <v>913.33</v>
      </c>
      <c r="K251">
        <v>26.4</v>
      </c>
      <c r="L251" t="s">
        <v>19</v>
      </c>
      <c r="M251">
        <f t="shared" si="9"/>
        <v>913.33</v>
      </c>
      <c r="N251">
        <f t="shared" si="10"/>
        <v>0</v>
      </c>
      <c r="O251">
        <f t="shared" si="11"/>
        <v>913.33</v>
      </c>
    </row>
    <row r="252" spans="1:15" x14ac:dyDescent="0.2">
      <c r="A252" t="s">
        <v>38</v>
      </c>
      <c r="B252">
        <v>60563</v>
      </c>
      <c r="C252" t="s">
        <v>28</v>
      </c>
      <c r="D252" t="s">
        <v>18</v>
      </c>
      <c r="E252" s="3">
        <v>44767</v>
      </c>
      <c r="F252" t="s">
        <v>39</v>
      </c>
      <c r="G252" s="2">
        <v>45037</v>
      </c>
      <c r="H252" t="s">
        <v>40</v>
      </c>
      <c r="I252" s="2">
        <v>44593</v>
      </c>
      <c r="J252">
        <v>761.01</v>
      </c>
      <c r="K252">
        <v>26.4</v>
      </c>
      <c r="L252" t="s">
        <v>19</v>
      </c>
      <c r="M252">
        <f t="shared" si="9"/>
        <v>761.01</v>
      </c>
      <c r="N252">
        <f t="shared" si="10"/>
        <v>0</v>
      </c>
      <c r="O252">
        <f t="shared" si="11"/>
        <v>761.01</v>
      </c>
    </row>
    <row r="253" spans="1:15" x14ac:dyDescent="0.2">
      <c r="A253" t="s">
        <v>41</v>
      </c>
      <c r="B253">
        <v>60564</v>
      </c>
      <c r="C253" t="s">
        <v>28</v>
      </c>
      <c r="D253" t="s">
        <v>22</v>
      </c>
      <c r="E253" s="3">
        <v>44815</v>
      </c>
      <c r="F253" t="s">
        <v>36</v>
      </c>
      <c r="G253" s="2">
        <v>44928</v>
      </c>
      <c r="H253" t="s">
        <v>42</v>
      </c>
      <c r="I253" s="2">
        <v>44593</v>
      </c>
      <c r="J253">
        <v>662.84</v>
      </c>
      <c r="K253">
        <v>26.4</v>
      </c>
      <c r="L253" t="s">
        <v>19</v>
      </c>
      <c r="M253">
        <f t="shared" si="9"/>
        <v>662.84</v>
      </c>
      <c r="N253">
        <f t="shared" si="10"/>
        <v>0</v>
      </c>
      <c r="O253">
        <f t="shared" si="11"/>
        <v>662.84</v>
      </c>
    </row>
    <row r="254" spans="1:15" x14ac:dyDescent="0.2">
      <c r="A254" t="s">
        <v>43</v>
      </c>
      <c r="B254">
        <v>60564</v>
      </c>
      <c r="C254" t="s">
        <v>28</v>
      </c>
      <c r="D254" t="s">
        <v>18</v>
      </c>
      <c r="E254" s="3">
        <v>44759</v>
      </c>
      <c r="F254" t="s">
        <v>33</v>
      </c>
      <c r="G254" s="2">
        <v>45025</v>
      </c>
      <c r="H254" t="s">
        <v>44</v>
      </c>
      <c r="I254" s="2">
        <v>44593</v>
      </c>
      <c r="J254">
        <v>814.52</v>
      </c>
      <c r="K254">
        <v>26.4</v>
      </c>
      <c r="L254" t="s">
        <v>19</v>
      </c>
      <c r="M254">
        <f t="shared" si="9"/>
        <v>814.52</v>
      </c>
      <c r="N254">
        <f t="shared" si="10"/>
        <v>0</v>
      </c>
      <c r="O254">
        <f t="shared" si="11"/>
        <v>814.52</v>
      </c>
    </row>
    <row r="255" spans="1:15" x14ac:dyDescent="0.2">
      <c r="A255" t="s">
        <v>45</v>
      </c>
      <c r="B255">
        <v>60565</v>
      </c>
      <c r="C255" t="s">
        <v>28</v>
      </c>
      <c r="D255" t="s">
        <v>18</v>
      </c>
      <c r="E255" s="3">
        <v>44815</v>
      </c>
      <c r="F255" t="s">
        <v>46</v>
      </c>
      <c r="G255" s="2">
        <v>44968</v>
      </c>
      <c r="H255" t="s">
        <v>47</v>
      </c>
      <c r="I255" s="2">
        <v>44593</v>
      </c>
      <c r="J255">
        <v>820.46</v>
      </c>
      <c r="K255">
        <v>26.4</v>
      </c>
      <c r="L255" t="s">
        <v>19</v>
      </c>
      <c r="M255">
        <f t="shared" si="9"/>
        <v>820.46</v>
      </c>
      <c r="N255">
        <f t="shared" si="10"/>
        <v>0</v>
      </c>
      <c r="O255">
        <f t="shared" si="11"/>
        <v>820.46</v>
      </c>
    </row>
    <row r="256" spans="1:15" x14ac:dyDescent="0.2">
      <c r="A256" t="s">
        <v>48</v>
      </c>
      <c r="B256">
        <v>60564</v>
      </c>
      <c r="C256" t="s">
        <v>28</v>
      </c>
      <c r="D256" t="s">
        <v>22</v>
      </c>
      <c r="E256" s="3">
        <v>44789</v>
      </c>
      <c r="F256" t="s">
        <v>46</v>
      </c>
      <c r="G256" s="2">
        <v>44984</v>
      </c>
      <c r="H256" t="s">
        <v>49</v>
      </c>
      <c r="I256" s="2">
        <v>44593</v>
      </c>
      <c r="J256">
        <v>946.54</v>
      </c>
      <c r="K256">
        <v>26.4</v>
      </c>
      <c r="L256" t="s">
        <v>19</v>
      </c>
      <c r="M256">
        <f t="shared" si="9"/>
        <v>946.54</v>
      </c>
      <c r="N256">
        <f t="shared" si="10"/>
        <v>0</v>
      </c>
      <c r="O256">
        <f t="shared" si="11"/>
        <v>946.54</v>
      </c>
    </row>
    <row r="257" spans="1:15" x14ac:dyDescent="0.2">
      <c r="A257" t="s">
        <v>50</v>
      </c>
      <c r="B257">
        <v>60565</v>
      </c>
      <c r="C257" t="s">
        <v>28</v>
      </c>
      <c r="D257" t="s">
        <v>18</v>
      </c>
      <c r="E257" s="3">
        <v>44641</v>
      </c>
      <c r="F257" t="s">
        <v>33</v>
      </c>
      <c r="G257" s="2">
        <v>44804</v>
      </c>
      <c r="H257" t="s">
        <v>51</v>
      </c>
      <c r="I257" s="2">
        <v>44593</v>
      </c>
      <c r="J257">
        <v>813.29</v>
      </c>
      <c r="K257">
        <v>26.4</v>
      </c>
      <c r="L257" t="s">
        <v>19</v>
      </c>
      <c r="M257">
        <f t="shared" si="9"/>
        <v>813.29</v>
      </c>
      <c r="N257">
        <f t="shared" si="10"/>
        <v>0</v>
      </c>
      <c r="O257">
        <f t="shared" si="11"/>
        <v>813.29</v>
      </c>
    </row>
    <row r="258" spans="1:15" x14ac:dyDescent="0.2">
      <c r="A258" t="s">
        <v>32</v>
      </c>
      <c r="B258">
        <v>60564</v>
      </c>
      <c r="C258" t="s">
        <v>28</v>
      </c>
      <c r="D258" t="s">
        <v>14</v>
      </c>
      <c r="E258" s="3">
        <v>44602</v>
      </c>
      <c r="F258" t="s">
        <v>33</v>
      </c>
      <c r="G258" s="2">
        <v>44976</v>
      </c>
      <c r="H258" t="s">
        <v>34</v>
      </c>
      <c r="I258" s="2">
        <v>44621</v>
      </c>
      <c r="J258">
        <v>737.31</v>
      </c>
      <c r="K258">
        <v>29.5</v>
      </c>
      <c r="L258" t="s">
        <v>19</v>
      </c>
      <c r="M258">
        <f t="shared" ref="M258:M321" si="12">SUMIFS(J258,I258, "&lt;" &amp;G258,I258,"&lt;&gt;",G258,"&lt;&gt;")</f>
        <v>737.31</v>
      </c>
      <c r="N258">
        <f t="shared" ref="N258:N321" si="13">SUMIFS(J258,I258, "&gt;=" &amp;G258,I258,"&lt;&gt;",G258,"&lt;&gt;")</f>
        <v>0</v>
      </c>
      <c r="O258">
        <f t="shared" ref="O258:O321" si="14">SUM(M258-N258)</f>
        <v>737.31</v>
      </c>
    </row>
    <row r="259" spans="1:15" x14ac:dyDescent="0.2">
      <c r="A259" t="s">
        <v>35</v>
      </c>
      <c r="B259">
        <v>60540</v>
      </c>
      <c r="C259" t="s">
        <v>28</v>
      </c>
      <c r="D259" t="s">
        <v>22</v>
      </c>
      <c r="E259" s="3">
        <v>44635</v>
      </c>
      <c r="F259" t="s">
        <v>36</v>
      </c>
      <c r="G259" s="2">
        <v>45023</v>
      </c>
      <c r="H259" t="s">
        <v>37</v>
      </c>
      <c r="I259" s="2">
        <v>44621</v>
      </c>
      <c r="J259">
        <v>746.03</v>
      </c>
      <c r="K259">
        <v>29.5</v>
      </c>
      <c r="L259" t="s">
        <v>19</v>
      </c>
      <c r="M259">
        <f t="shared" si="12"/>
        <v>746.03</v>
      </c>
      <c r="N259">
        <f t="shared" si="13"/>
        <v>0</v>
      </c>
      <c r="O259">
        <f t="shared" si="14"/>
        <v>746.03</v>
      </c>
    </row>
    <row r="260" spans="1:15" x14ac:dyDescent="0.2">
      <c r="A260" t="s">
        <v>38</v>
      </c>
      <c r="B260">
        <v>60563</v>
      </c>
      <c r="C260" t="s">
        <v>28</v>
      </c>
      <c r="D260" t="s">
        <v>18</v>
      </c>
      <c r="E260" s="3">
        <v>44767</v>
      </c>
      <c r="F260" t="s">
        <v>39</v>
      </c>
      <c r="G260" s="2">
        <v>45037</v>
      </c>
      <c r="H260" t="s">
        <v>40</v>
      </c>
      <c r="I260" s="2">
        <v>44621</v>
      </c>
      <c r="J260">
        <v>914.96</v>
      </c>
      <c r="K260">
        <v>29.5</v>
      </c>
      <c r="L260" t="s">
        <v>19</v>
      </c>
      <c r="M260">
        <f t="shared" si="12"/>
        <v>914.96</v>
      </c>
      <c r="N260">
        <f t="shared" si="13"/>
        <v>0</v>
      </c>
      <c r="O260">
        <f t="shared" si="14"/>
        <v>914.96</v>
      </c>
    </row>
    <row r="261" spans="1:15" x14ac:dyDescent="0.2">
      <c r="A261" t="s">
        <v>41</v>
      </c>
      <c r="B261">
        <v>60564</v>
      </c>
      <c r="C261" t="s">
        <v>28</v>
      </c>
      <c r="D261" t="s">
        <v>22</v>
      </c>
      <c r="E261" s="3">
        <v>44815</v>
      </c>
      <c r="F261" t="s">
        <v>36</v>
      </c>
      <c r="G261" s="2">
        <v>44928</v>
      </c>
      <c r="H261" t="s">
        <v>42</v>
      </c>
      <c r="I261" s="2">
        <v>44621</v>
      </c>
      <c r="J261">
        <v>848.51</v>
      </c>
      <c r="K261">
        <v>29.5</v>
      </c>
      <c r="L261" t="s">
        <v>19</v>
      </c>
      <c r="M261">
        <f t="shared" si="12"/>
        <v>848.51</v>
      </c>
      <c r="N261">
        <f t="shared" si="13"/>
        <v>0</v>
      </c>
      <c r="O261">
        <f t="shared" si="14"/>
        <v>848.51</v>
      </c>
    </row>
    <row r="262" spans="1:15" x14ac:dyDescent="0.2">
      <c r="A262" t="s">
        <v>43</v>
      </c>
      <c r="B262">
        <v>60564</v>
      </c>
      <c r="C262" t="s">
        <v>28</v>
      </c>
      <c r="D262" t="s">
        <v>18</v>
      </c>
      <c r="E262" s="3">
        <v>44759</v>
      </c>
      <c r="F262" t="s">
        <v>33</v>
      </c>
      <c r="G262" s="2">
        <v>45025</v>
      </c>
      <c r="H262" t="s">
        <v>44</v>
      </c>
      <c r="I262" s="2">
        <v>44621</v>
      </c>
      <c r="J262">
        <v>979.52</v>
      </c>
      <c r="K262">
        <v>29.5</v>
      </c>
      <c r="L262" t="s">
        <v>19</v>
      </c>
      <c r="M262">
        <f t="shared" si="12"/>
        <v>979.52</v>
      </c>
      <c r="N262">
        <f t="shared" si="13"/>
        <v>0</v>
      </c>
      <c r="O262">
        <f t="shared" si="14"/>
        <v>979.52</v>
      </c>
    </row>
    <row r="263" spans="1:15" x14ac:dyDescent="0.2">
      <c r="A263" t="s">
        <v>45</v>
      </c>
      <c r="B263">
        <v>60565</v>
      </c>
      <c r="C263" t="s">
        <v>28</v>
      </c>
      <c r="D263" t="s">
        <v>18</v>
      </c>
      <c r="E263" s="3">
        <v>44815</v>
      </c>
      <c r="F263" t="s">
        <v>46</v>
      </c>
      <c r="G263" s="2">
        <v>44968</v>
      </c>
      <c r="H263" t="s">
        <v>47</v>
      </c>
      <c r="I263" s="2">
        <v>44621</v>
      </c>
      <c r="J263">
        <v>739.74</v>
      </c>
      <c r="K263">
        <v>29.5</v>
      </c>
      <c r="L263" t="s">
        <v>19</v>
      </c>
      <c r="M263">
        <f t="shared" si="12"/>
        <v>739.74</v>
      </c>
      <c r="N263">
        <f t="shared" si="13"/>
        <v>0</v>
      </c>
      <c r="O263">
        <f t="shared" si="14"/>
        <v>739.74</v>
      </c>
    </row>
    <row r="264" spans="1:15" x14ac:dyDescent="0.2">
      <c r="A264" t="s">
        <v>48</v>
      </c>
      <c r="B264">
        <v>60564</v>
      </c>
      <c r="C264" t="s">
        <v>28</v>
      </c>
      <c r="D264" t="s">
        <v>22</v>
      </c>
      <c r="E264" s="3">
        <v>44789</v>
      </c>
      <c r="F264" t="s">
        <v>46</v>
      </c>
      <c r="G264" s="2">
        <v>44984</v>
      </c>
      <c r="H264" t="s">
        <v>49</v>
      </c>
      <c r="I264" s="2">
        <v>44621</v>
      </c>
      <c r="J264">
        <v>830.31</v>
      </c>
      <c r="K264">
        <v>29.5</v>
      </c>
      <c r="L264" t="s">
        <v>19</v>
      </c>
      <c r="M264">
        <f t="shared" si="12"/>
        <v>830.31</v>
      </c>
      <c r="N264">
        <f t="shared" si="13"/>
        <v>0</v>
      </c>
      <c r="O264">
        <f t="shared" si="14"/>
        <v>830.31</v>
      </c>
    </row>
    <row r="265" spans="1:15" x14ac:dyDescent="0.2">
      <c r="A265" t="s">
        <v>50</v>
      </c>
      <c r="B265">
        <v>60565</v>
      </c>
      <c r="C265" t="s">
        <v>28</v>
      </c>
      <c r="D265" t="s">
        <v>18</v>
      </c>
      <c r="E265" s="3">
        <v>44641</v>
      </c>
      <c r="F265" t="s">
        <v>33</v>
      </c>
      <c r="G265" s="2">
        <v>44804</v>
      </c>
      <c r="H265" t="s">
        <v>51</v>
      </c>
      <c r="I265" s="2">
        <v>44621</v>
      </c>
      <c r="J265">
        <v>851.99</v>
      </c>
      <c r="K265">
        <v>29.5</v>
      </c>
      <c r="L265" t="s">
        <v>19</v>
      </c>
      <c r="M265">
        <f t="shared" si="12"/>
        <v>851.99</v>
      </c>
      <c r="N265">
        <f t="shared" si="13"/>
        <v>0</v>
      </c>
      <c r="O265">
        <f t="shared" si="14"/>
        <v>851.99</v>
      </c>
    </row>
    <row r="266" spans="1:15" x14ac:dyDescent="0.2">
      <c r="A266" t="s">
        <v>32</v>
      </c>
      <c r="B266">
        <v>60564</v>
      </c>
      <c r="C266" t="s">
        <v>28</v>
      </c>
      <c r="D266" t="s">
        <v>14</v>
      </c>
      <c r="E266" s="3">
        <v>44602</v>
      </c>
      <c r="F266" t="s">
        <v>33</v>
      </c>
      <c r="G266" s="2">
        <v>44976</v>
      </c>
      <c r="H266" t="s">
        <v>34</v>
      </c>
      <c r="I266" s="2">
        <v>44652</v>
      </c>
      <c r="J266">
        <v>665.8</v>
      </c>
      <c r="K266">
        <v>50.8</v>
      </c>
      <c r="L266" t="s">
        <v>16</v>
      </c>
      <c r="M266">
        <f t="shared" si="12"/>
        <v>665.8</v>
      </c>
      <c r="N266">
        <f t="shared" si="13"/>
        <v>0</v>
      </c>
      <c r="O266">
        <f t="shared" si="14"/>
        <v>665.8</v>
      </c>
    </row>
    <row r="267" spans="1:15" x14ac:dyDescent="0.2">
      <c r="A267" t="s">
        <v>35</v>
      </c>
      <c r="B267">
        <v>60540</v>
      </c>
      <c r="C267" t="s">
        <v>28</v>
      </c>
      <c r="D267" t="s">
        <v>22</v>
      </c>
      <c r="E267" s="3">
        <v>44635</v>
      </c>
      <c r="F267" t="s">
        <v>36</v>
      </c>
      <c r="G267" s="2">
        <v>45023</v>
      </c>
      <c r="H267" t="s">
        <v>37</v>
      </c>
      <c r="I267" s="2">
        <v>44652</v>
      </c>
      <c r="J267">
        <v>658</v>
      </c>
      <c r="K267">
        <v>50.8</v>
      </c>
      <c r="L267" t="s">
        <v>16</v>
      </c>
      <c r="M267">
        <f t="shared" si="12"/>
        <v>658</v>
      </c>
      <c r="N267">
        <f t="shared" si="13"/>
        <v>0</v>
      </c>
      <c r="O267">
        <f t="shared" si="14"/>
        <v>658</v>
      </c>
    </row>
    <row r="268" spans="1:15" x14ac:dyDescent="0.2">
      <c r="A268" t="s">
        <v>38</v>
      </c>
      <c r="B268">
        <v>60563</v>
      </c>
      <c r="C268" t="s">
        <v>28</v>
      </c>
      <c r="D268" t="s">
        <v>18</v>
      </c>
      <c r="E268" s="3">
        <v>44767</v>
      </c>
      <c r="F268" t="s">
        <v>39</v>
      </c>
      <c r="G268" s="2">
        <v>45037</v>
      </c>
      <c r="H268" t="s">
        <v>40</v>
      </c>
      <c r="I268" s="2">
        <v>44652</v>
      </c>
      <c r="J268">
        <v>852.52</v>
      </c>
      <c r="K268">
        <v>50.8</v>
      </c>
      <c r="L268" t="s">
        <v>16</v>
      </c>
      <c r="M268">
        <f t="shared" si="12"/>
        <v>852.52</v>
      </c>
      <c r="N268">
        <f t="shared" si="13"/>
        <v>0</v>
      </c>
      <c r="O268">
        <f t="shared" si="14"/>
        <v>852.52</v>
      </c>
    </row>
    <row r="269" spans="1:15" x14ac:dyDescent="0.2">
      <c r="A269" t="s">
        <v>41</v>
      </c>
      <c r="B269">
        <v>60564</v>
      </c>
      <c r="C269" t="s">
        <v>28</v>
      </c>
      <c r="D269" t="s">
        <v>22</v>
      </c>
      <c r="E269" s="3">
        <v>44815</v>
      </c>
      <c r="F269" t="s">
        <v>36</v>
      </c>
      <c r="G269" s="2">
        <v>44928</v>
      </c>
      <c r="H269" t="s">
        <v>42</v>
      </c>
      <c r="I269" s="2">
        <v>44652</v>
      </c>
      <c r="J269">
        <v>593.75</v>
      </c>
      <c r="K269">
        <v>50.8</v>
      </c>
      <c r="L269" t="s">
        <v>16</v>
      </c>
      <c r="M269">
        <f t="shared" si="12"/>
        <v>593.75</v>
      </c>
      <c r="N269">
        <f t="shared" si="13"/>
        <v>0</v>
      </c>
      <c r="O269">
        <f t="shared" si="14"/>
        <v>593.75</v>
      </c>
    </row>
    <row r="270" spans="1:15" x14ac:dyDescent="0.2">
      <c r="A270" t="s">
        <v>43</v>
      </c>
      <c r="B270">
        <v>60564</v>
      </c>
      <c r="C270" t="s">
        <v>28</v>
      </c>
      <c r="D270" t="s">
        <v>18</v>
      </c>
      <c r="E270" s="3">
        <v>44759</v>
      </c>
      <c r="F270" t="s">
        <v>33</v>
      </c>
      <c r="G270" s="2">
        <v>45025</v>
      </c>
      <c r="H270" t="s">
        <v>44</v>
      </c>
      <c r="I270" s="2">
        <v>44652</v>
      </c>
      <c r="J270">
        <v>792.55</v>
      </c>
      <c r="K270">
        <v>50.8</v>
      </c>
      <c r="L270" t="s">
        <v>16</v>
      </c>
      <c r="M270">
        <f t="shared" si="12"/>
        <v>792.55</v>
      </c>
      <c r="N270">
        <f t="shared" si="13"/>
        <v>0</v>
      </c>
      <c r="O270">
        <f t="shared" si="14"/>
        <v>792.55</v>
      </c>
    </row>
    <row r="271" spans="1:15" x14ac:dyDescent="0.2">
      <c r="A271" t="s">
        <v>45</v>
      </c>
      <c r="B271">
        <v>60565</v>
      </c>
      <c r="C271" t="s">
        <v>28</v>
      </c>
      <c r="D271" t="s">
        <v>18</v>
      </c>
      <c r="E271" s="3">
        <v>44815</v>
      </c>
      <c r="F271" t="s">
        <v>46</v>
      </c>
      <c r="G271" s="2">
        <v>44968</v>
      </c>
      <c r="H271" t="s">
        <v>47</v>
      </c>
      <c r="I271" s="2">
        <v>44652</v>
      </c>
      <c r="J271">
        <v>930.18</v>
      </c>
      <c r="K271">
        <v>50.8</v>
      </c>
      <c r="L271" t="s">
        <v>16</v>
      </c>
      <c r="M271">
        <f t="shared" si="12"/>
        <v>930.18</v>
      </c>
      <c r="N271">
        <f t="shared" si="13"/>
        <v>0</v>
      </c>
      <c r="O271">
        <f t="shared" si="14"/>
        <v>930.18</v>
      </c>
    </row>
    <row r="272" spans="1:15" x14ac:dyDescent="0.2">
      <c r="A272" t="s">
        <v>48</v>
      </c>
      <c r="B272">
        <v>60564</v>
      </c>
      <c r="C272" t="s">
        <v>28</v>
      </c>
      <c r="D272" t="s">
        <v>22</v>
      </c>
      <c r="E272" s="3">
        <v>44789</v>
      </c>
      <c r="F272" t="s">
        <v>46</v>
      </c>
      <c r="G272" s="2">
        <v>44984</v>
      </c>
      <c r="H272" t="s">
        <v>49</v>
      </c>
      <c r="I272" s="2">
        <v>44652</v>
      </c>
      <c r="J272">
        <v>916.65</v>
      </c>
      <c r="K272">
        <v>50.8</v>
      </c>
      <c r="L272" t="s">
        <v>16</v>
      </c>
      <c r="M272">
        <f t="shared" si="12"/>
        <v>916.65</v>
      </c>
      <c r="N272">
        <f t="shared" si="13"/>
        <v>0</v>
      </c>
      <c r="O272">
        <f t="shared" si="14"/>
        <v>916.65</v>
      </c>
    </row>
    <row r="273" spans="1:15" x14ac:dyDescent="0.2">
      <c r="A273" t="s">
        <v>50</v>
      </c>
      <c r="B273">
        <v>60565</v>
      </c>
      <c r="C273" t="s">
        <v>28</v>
      </c>
      <c r="D273" t="s">
        <v>18</v>
      </c>
      <c r="E273" s="3">
        <v>44641</v>
      </c>
      <c r="F273" t="s">
        <v>33</v>
      </c>
      <c r="G273" s="2">
        <v>44804</v>
      </c>
      <c r="H273" t="s">
        <v>51</v>
      </c>
      <c r="I273" s="2">
        <v>44652</v>
      </c>
      <c r="J273">
        <v>788.17</v>
      </c>
      <c r="K273">
        <v>50.8</v>
      </c>
      <c r="L273" t="s">
        <v>16</v>
      </c>
      <c r="M273">
        <f t="shared" si="12"/>
        <v>788.17</v>
      </c>
      <c r="N273">
        <f t="shared" si="13"/>
        <v>0</v>
      </c>
      <c r="O273">
        <f t="shared" si="14"/>
        <v>788.17</v>
      </c>
    </row>
    <row r="274" spans="1:15" x14ac:dyDescent="0.2">
      <c r="A274" t="s">
        <v>32</v>
      </c>
      <c r="B274">
        <v>60564</v>
      </c>
      <c r="C274" t="s">
        <v>28</v>
      </c>
      <c r="D274" t="s">
        <v>14</v>
      </c>
      <c r="E274" s="3">
        <v>44602</v>
      </c>
      <c r="F274" t="s">
        <v>33</v>
      </c>
      <c r="G274" s="2">
        <v>44976</v>
      </c>
      <c r="H274" t="s">
        <v>34</v>
      </c>
      <c r="I274" s="2">
        <v>44682</v>
      </c>
      <c r="J274">
        <v>767.4</v>
      </c>
      <c r="K274">
        <v>46.3</v>
      </c>
      <c r="L274" t="s">
        <v>16</v>
      </c>
      <c r="M274">
        <f t="shared" si="12"/>
        <v>767.4</v>
      </c>
      <c r="N274">
        <f t="shared" si="13"/>
        <v>0</v>
      </c>
      <c r="O274">
        <f t="shared" si="14"/>
        <v>767.4</v>
      </c>
    </row>
    <row r="275" spans="1:15" x14ac:dyDescent="0.2">
      <c r="A275" t="s">
        <v>35</v>
      </c>
      <c r="B275">
        <v>60540</v>
      </c>
      <c r="C275" t="s">
        <v>28</v>
      </c>
      <c r="D275" t="s">
        <v>22</v>
      </c>
      <c r="E275" s="3">
        <v>44635</v>
      </c>
      <c r="F275" t="s">
        <v>36</v>
      </c>
      <c r="G275" s="2">
        <v>45023</v>
      </c>
      <c r="H275" t="s">
        <v>37</v>
      </c>
      <c r="I275" s="2">
        <v>44682</v>
      </c>
      <c r="J275">
        <v>715.31</v>
      </c>
      <c r="K275">
        <v>46.3</v>
      </c>
      <c r="L275" t="s">
        <v>16</v>
      </c>
      <c r="M275">
        <f t="shared" si="12"/>
        <v>715.31</v>
      </c>
      <c r="N275">
        <f t="shared" si="13"/>
        <v>0</v>
      </c>
      <c r="O275">
        <f t="shared" si="14"/>
        <v>715.31</v>
      </c>
    </row>
    <row r="276" spans="1:15" x14ac:dyDescent="0.2">
      <c r="A276" t="s">
        <v>38</v>
      </c>
      <c r="B276">
        <v>60563</v>
      </c>
      <c r="C276" t="s">
        <v>28</v>
      </c>
      <c r="D276" t="s">
        <v>18</v>
      </c>
      <c r="E276" s="3">
        <v>44767</v>
      </c>
      <c r="F276" t="s">
        <v>39</v>
      </c>
      <c r="G276" s="2">
        <v>45037</v>
      </c>
      <c r="H276" t="s">
        <v>40</v>
      </c>
      <c r="I276" s="2">
        <v>44682</v>
      </c>
      <c r="J276">
        <v>823.35</v>
      </c>
      <c r="K276">
        <v>46.3</v>
      </c>
      <c r="L276" t="s">
        <v>16</v>
      </c>
      <c r="M276">
        <f t="shared" si="12"/>
        <v>823.35</v>
      </c>
      <c r="N276">
        <f t="shared" si="13"/>
        <v>0</v>
      </c>
      <c r="O276">
        <f t="shared" si="14"/>
        <v>823.35</v>
      </c>
    </row>
    <row r="277" spans="1:15" x14ac:dyDescent="0.2">
      <c r="A277" t="s">
        <v>41</v>
      </c>
      <c r="B277">
        <v>60564</v>
      </c>
      <c r="C277" t="s">
        <v>28</v>
      </c>
      <c r="D277" t="s">
        <v>22</v>
      </c>
      <c r="E277" s="3">
        <v>44815</v>
      </c>
      <c r="F277" t="s">
        <v>36</v>
      </c>
      <c r="G277" s="2">
        <v>44928</v>
      </c>
      <c r="H277" t="s">
        <v>42</v>
      </c>
      <c r="I277" s="2">
        <v>44682</v>
      </c>
      <c r="J277">
        <v>1034.2</v>
      </c>
      <c r="K277">
        <v>46.3</v>
      </c>
      <c r="L277" t="s">
        <v>16</v>
      </c>
      <c r="M277">
        <f t="shared" si="12"/>
        <v>1034.2</v>
      </c>
      <c r="N277">
        <f t="shared" si="13"/>
        <v>0</v>
      </c>
      <c r="O277">
        <f t="shared" si="14"/>
        <v>1034.2</v>
      </c>
    </row>
    <row r="278" spans="1:15" x14ac:dyDescent="0.2">
      <c r="A278" t="s">
        <v>43</v>
      </c>
      <c r="B278">
        <v>60564</v>
      </c>
      <c r="C278" t="s">
        <v>28</v>
      </c>
      <c r="D278" t="s">
        <v>18</v>
      </c>
      <c r="E278" s="3">
        <v>44759</v>
      </c>
      <c r="F278" t="s">
        <v>33</v>
      </c>
      <c r="G278" s="2">
        <v>45025</v>
      </c>
      <c r="H278" t="s">
        <v>44</v>
      </c>
      <c r="I278" s="2">
        <v>44682</v>
      </c>
      <c r="J278">
        <v>856.63</v>
      </c>
      <c r="K278">
        <v>46.3</v>
      </c>
      <c r="L278" t="s">
        <v>16</v>
      </c>
      <c r="M278">
        <f t="shared" si="12"/>
        <v>856.63</v>
      </c>
      <c r="N278">
        <f t="shared" si="13"/>
        <v>0</v>
      </c>
      <c r="O278">
        <f t="shared" si="14"/>
        <v>856.63</v>
      </c>
    </row>
    <row r="279" spans="1:15" x14ac:dyDescent="0.2">
      <c r="A279" t="s">
        <v>45</v>
      </c>
      <c r="B279">
        <v>60565</v>
      </c>
      <c r="C279" t="s">
        <v>28</v>
      </c>
      <c r="D279" t="s">
        <v>18</v>
      </c>
      <c r="E279" s="3">
        <v>44815</v>
      </c>
      <c r="F279" t="s">
        <v>46</v>
      </c>
      <c r="G279" s="2">
        <v>44968</v>
      </c>
      <c r="H279" t="s">
        <v>47</v>
      </c>
      <c r="I279" s="2">
        <v>44682</v>
      </c>
      <c r="J279">
        <v>737.26</v>
      </c>
      <c r="K279">
        <v>46.3</v>
      </c>
      <c r="L279" t="s">
        <v>16</v>
      </c>
      <c r="M279">
        <f t="shared" si="12"/>
        <v>737.26</v>
      </c>
      <c r="N279">
        <f t="shared" si="13"/>
        <v>0</v>
      </c>
      <c r="O279">
        <f t="shared" si="14"/>
        <v>737.26</v>
      </c>
    </row>
    <row r="280" spans="1:15" x14ac:dyDescent="0.2">
      <c r="A280" t="s">
        <v>48</v>
      </c>
      <c r="B280">
        <v>60564</v>
      </c>
      <c r="C280" t="s">
        <v>28</v>
      </c>
      <c r="D280" t="s">
        <v>22</v>
      </c>
      <c r="E280" s="3">
        <v>44789</v>
      </c>
      <c r="F280" t="s">
        <v>46</v>
      </c>
      <c r="G280" s="2">
        <v>44984</v>
      </c>
      <c r="H280" t="s">
        <v>49</v>
      </c>
      <c r="I280" s="2">
        <v>44682</v>
      </c>
      <c r="J280">
        <v>904</v>
      </c>
      <c r="K280">
        <v>46.3</v>
      </c>
      <c r="L280" t="s">
        <v>16</v>
      </c>
      <c r="M280">
        <f t="shared" si="12"/>
        <v>904</v>
      </c>
      <c r="N280">
        <f t="shared" si="13"/>
        <v>0</v>
      </c>
      <c r="O280">
        <f t="shared" si="14"/>
        <v>904</v>
      </c>
    </row>
    <row r="281" spans="1:15" x14ac:dyDescent="0.2">
      <c r="A281" t="s">
        <v>50</v>
      </c>
      <c r="B281">
        <v>60565</v>
      </c>
      <c r="C281" t="s">
        <v>28</v>
      </c>
      <c r="D281" t="s">
        <v>18</v>
      </c>
      <c r="E281" s="3">
        <v>44641</v>
      </c>
      <c r="F281" t="s">
        <v>33</v>
      </c>
      <c r="G281" s="2">
        <v>44804</v>
      </c>
      <c r="H281" t="s">
        <v>51</v>
      </c>
      <c r="I281" s="2">
        <v>44682</v>
      </c>
      <c r="J281">
        <v>795.02</v>
      </c>
      <c r="K281">
        <v>46.3</v>
      </c>
      <c r="L281" t="s">
        <v>16</v>
      </c>
      <c r="M281">
        <f t="shared" si="12"/>
        <v>795.02</v>
      </c>
      <c r="N281">
        <f t="shared" si="13"/>
        <v>0</v>
      </c>
      <c r="O281">
        <f t="shared" si="14"/>
        <v>795.02</v>
      </c>
    </row>
    <row r="282" spans="1:15" x14ac:dyDescent="0.2">
      <c r="A282" t="s">
        <v>32</v>
      </c>
      <c r="B282">
        <v>60564</v>
      </c>
      <c r="C282" t="s">
        <v>28</v>
      </c>
      <c r="D282" t="s">
        <v>14</v>
      </c>
      <c r="E282" s="3">
        <v>44602</v>
      </c>
      <c r="F282" t="s">
        <v>33</v>
      </c>
      <c r="G282" s="2">
        <v>44976</v>
      </c>
      <c r="H282" t="s">
        <v>34</v>
      </c>
      <c r="I282" s="2">
        <v>44713</v>
      </c>
      <c r="J282">
        <v>1125.4000000000001</v>
      </c>
      <c r="K282">
        <v>61.1</v>
      </c>
      <c r="L282" t="s">
        <v>16</v>
      </c>
      <c r="M282">
        <f t="shared" si="12"/>
        <v>1125.4000000000001</v>
      </c>
      <c r="N282">
        <f t="shared" si="13"/>
        <v>0</v>
      </c>
      <c r="O282">
        <f t="shared" si="14"/>
        <v>1125.4000000000001</v>
      </c>
    </row>
    <row r="283" spans="1:15" x14ac:dyDescent="0.2">
      <c r="A283" t="s">
        <v>35</v>
      </c>
      <c r="B283">
        <v>60540</v>
      </c>
      <c r="C283" t="s">
        <v>28</v>
      </c>
      <c r="D283" t="s">
        <v>22</v>
      </c>
      <c r="E283" s="3">
        <v>44635</v>
      </c>
      <c r="F283" t="s">
        <v>36</v>
      </c>
      <c r="G283" s="2">
        <v>45023</v>
      </c>
      <c r="H283" t="s">
        <v>37</v>
      </c>
      <c r="I283" s="2">
        <v>44713</v>
      </c>
      <c r="J283">
        <v>795.48</v>
      </c>
      <c r="K283">
        <v>61.1</v>
      </c>
      <c r="L283" t="s">
        <v>16</v>
      </c>
      <c r="M283">
        <f t="shared" si="12"/>
        <v>795.48</v>
      </c>
      <c r="N283">
        <f t="shared" si="13"/>
        <v>0</v>
      </c>
      <c r="O283">
        <f t="shared" si="14"/>
        <v>795.48</v>
      </c>
    </row>
    <row r="284" spans="1:15" x14ac:dyDescent="0.2">
      <c r="A284" t="s">
        <v>38</v>
      </c>
      <c r="B284">
        <v>60563</v>
      </c>
      <c r="C284" t="s">
        <v>28</v>
      </c>
      <c r="D284" t="s">
        <v>18</v>
      </c>
      <c r="E284" s="3">
        <v>44767</v>
      </c>
      <c r="F284" t="s">
        <v>39</v>
      </c>
      <c r="G284" s="2">
        <v>45037</v>
      </c>
      <c r="H284" t="s">
        <v>40</v>
      </c>
      <c r="I284" s="2">
        <v>44713</v>
      </c>
      <c r="J284">
        <v>880.27</v>
      </c>
      <c r="K284">
        <v>61.1</v>
      </c>
      <c r="L284" t="s">
        <v>16</v>
      </c>
      <c r="M284">
        <f t="shared" si="12"/>
        <v>880.27</v>
      </c>
      <c r="N284">
        <f t="shared" si="13"/>
        <v>0</v>
      </c>
      <c r="O284">
        <f t="shared" si="14"/>
        <v>880.27</v>
      </c>
    </row>
    <row r="285" spans="1:15" x14ac:dyDescent="0.2">
      <c r="A285" t="s">
        <v>41</v>
      </c>
      <c r="B285">
        <v>60564</v>
      </c>
      <c r="C285" t="s">
        <v>28</v>
      </c>
      <c r="D285" t="s">
        <v>22</v>
      </c>
      <c r="E285" s="3">
        <v>44815</v>
      </c>
      <c r="F285" t="s">
        <v>36</v>
      </c>
      <c r="G285" s="2">
        <v>44928</v>
      </c>
      <c r="H285" t="s">
        <v>42</v>
      </c>
      <c r="I285" s="2">
        <v>44713</v>
      </c>
      <c r="J285">
        <v>689.81</v>
      </c>
      <c r="K285">
        <v>61.1</v>
      </c>
      <c r="L285" t="s">
        <v>16</v>
      </c>
      <c r="M285">
        <f t="shared" si="12"/>
        <v>689.81</v>
      </c>
      <c r="N285">
        <f t="shared" si="13"/>
        <v>0</v>
      </c>
      <c r="O285">
        <f t="shared" si="14"/>
        <v>689.81</v>
      </c>
    </row>
    <row r="286" spans="1:15" x14ac:dyDescent="0.2">
      <c r="A286" t="s">
        <v>43</v>
      </c>
      <c r="B286">
        <v>60564</v>
      </c>
      <c r="C286" t="s">
        <v>28</v>
      </c>
      <c r="D286" t="s">
        <v>18</v>
      </c>
      <c r="E286" s="3">
        <v>44759</v>
      </c>
      <c r="F286" t="s">
        <v>33</v>
      </c>
      <c r="G286" s="2">
        <v>45025</v>
      </c>
      <c r="H286" t="s">
        <v>44</v>
      </c>
      <c r="I286" s="2">
        <v>44713</v>
      </c>
      <c r="J286">
        <v>883.18</v>
      </c>
      <c r="K286">
        <v>61.1</v>
      </c>
      <c r="L286" t="s">
        <v>16</v>
      </c>
      <c r="M286">
        <f t="shared" si="12"/>
        <v>883.18</v>
      </c>
      <c r="N286">
        <f t="shared" si="13"/>
        <v>0</v>
      </c>
      <c r="O286">
        <f t="shared" si="14"/>
        <v>883.18</v>
      </c>
    </row>
    <row r="287" spans="1:15" x14ac:dyDescent="0.2">
      <c r="A287" t="s">
        <v>45</v>
      </c>
      <c r="B287">
        <v>60565</v>
      </c>
      <c r="C287" t="s">
        <v>28</v>
      </c>
      <c r="D287" t="s">
        <v>18</v>
      </c>
      <c r="E287" s="3">
        <v>44815</v>
      </c>
      <c r="F287" t="s">
        <v>46</v>
      </c>
      <c r="G287" s="2">
        <v>44968</v>
      </c>
      <c r="H287" t="s">
        <v>47</v>
      </c>
      <c r="I287" s="2">
        <v>44713</v>
      </c>
      <c r="J287">
        <v>750.46</v>
      </c>
      <c r="K287">
        <v>61.1</v>
      </c>
      <c r="L287" t="s">
        <v>16</v>
      </c>
      <c r="M287">
        <f t="shared" si="12"/>
        <v>750.46</v>
      </c>
      <c r="N287">
        <f t="shared" si="13"/>
        <v>0</v>
      </c>
      <c r="O287">
        <f t="shared" si="14"/>
        <v>750.46</v>
      </c>
    </row>
    <row r="288" spans="1:15" x14ac:dyDescent="0.2">
      <c r="A288" t="s">
        <v>48</v>
      </c>
      <c r="B288">
        <v>60564</v>
      </c>
      <c r="C288" t="s">
        <v>28</v>
      </c>
      <c r="D288" t="s">
        <v>22</v>
      </c>
      <c r="E288" s="3">
        <v>44789</v>
      </c>
      <c r="F288" t="s">
        <v>46</v>
      </c>
      <c r="G288" s="2">
        <v>44984</v>
      </c>
      <c r="H288" t="s">
        <v>49</v>
      </c>
      <c r="I288" s="2">
        <v>44713</v>
      </c>
      <c r="J288">
        <v>699.94</v>
      </c>
      <c r="K288">
        <v>61.1</v>
      </c>
      <c r="L288" t="s">
        <v>16</v>
      </c>
      <c r="M288">
        <f t="shared" si="12"/>
        <v>699.94</v>
      </c>
      <c r="N288">
        <f t="shared" si="13"/>
        <v>0</v>
      </c>
      <c r="O288">
        <f t="shared" si="14"/>
        <v>699.94</v>
      </c>
    </row>
    <row r="289" spans="1:15" x14ac:dyDescent="0.2">
      <c r="A289" t="s">
        <v>50</v>
      </c>
      <c r="B289">
        <v>60565</v>
      </c>
      <c r="C289" t="s">
        <v>28</v>
      </c>
      <c r="D289" t="s">
        <v>18</v>
      </c>
      <c r="E289" s="3">
        <v>44641</v>
      </c>
      <c r="F289" t="s">
        <v>33</v>
      </c>
      <c r="G289" s="2">
        <v>44804</v>
      </c>
      <c r="H289" t="s">
        <v>51</v>
      </c>
      <c r="I289" s="2">
        <v>44713</v>
      </c>
      <c r="J289">
        <v>688.09</v>
      </c>
      <c r="K289">
        <v>61.1</v>
      </c>
      <c r="L289" t="s">
        <v>16</v>
      </c>
      <c r="M289">
        <f t="shared" si="12"/>
        <v>688.09</v>
      </c>
      <c r="N289">
        <f t="shared" si="13"/>
        <v>0</v>
      </c>
      <c r="O289">
        <f t="shared" si="14"/>
        <v>688.09</v>
      </c>
    </row>
    <row r="290" spans="1:15" x14ac:dyDescent="0.2">
      <c r="A290" t="s">
        <v>32</v>
      </c>
      <c r="B290">
        <v>60564</v>
      </c>
      <c r="C290" t="s">
        <v>28</v>
      </c>
      <c r="D290" t="s">
        <v>14</v>
      </c>
      <c r="E290" s="3">
        <v>44602</v>
      </c>
      <c r="F290" t="s">
        <v>33</v>
      </c>
      <c r="G290" s="2">
        <v>44976</v>
      </c>
      <c r="H290" t="s">
        <v>34</v>
      </c>
      <c r="I290" s="2">
        <v>44743</v>
      </c>
      <c r="J290">
        <v>645.5</v>
      </c>
      <c r="K290">
        <v>27.4</v>
      </c>
      <c r="L290" t="s">
        <v>19</v>
      </c>
      <c r="M290">
        <f t="shared" si="12"/>
        <v>645.5</v>
      </c>
      <c r="N290">
        <f t="shared" si="13"/>
        <v>0</v>
      </c>
      <c r="O290">
        <f t="shared" si="14"/>
        <v>645.5</v>
      </c>
    </row>
    <row r="291" spans="1:15" x14ac:dyDescent="0.2">
      <c r="A291" t="s">
        <v>35</v>
      </c>
      <c r="B291">
        <v>60540</v>
      </c>
      <c r="C291" t="s">
        <v>28</v>
      </c>
      <c r="D291" t="s">
        <v>22</v>
      </c>
      <c r="E291" s="3">
        <v>44635</v>
      </c>
      <c r="F291" t="s">
        <v>36</v>
      </c>
      <c r="G291" s="2">
        <v>45023</v>
      </c>
      <c r="H291" t="s">
        <v>37</v>
      </c>
      <c r="I291" s="2">
        <v>44743</v>
      </c>
      <c r="J291">
        <v>543.57000000000005</v>
      </c>
      <c r="K291">
        <v>27.4</v>
      </c>
      <c r="L291" t="s">
        <v>19</v>
      </c>
      <c r="M291">
        <f t="shared" si="12"/>
        <v>543.57000000000005</v>
      </c>
      <c r="N291">
        <f t="shared" si="13"/>
        <v>0</v>
      </c>
      <c r="O291">
        <f t="shared" si="14"/>
        <v>543.57000000000005</v>
      </c>
    </row>
    <row r="292" spans="1:15" x14ac:dyDescent="0.2">
      <c r="A292" t="s">
        <v>38</v>
      </c>
      <c r="B292">
        <v>60563</v>
      </c>
      <c r="C292" t="s">
        <v>28</v>
      </c>
      <c r="D292" t="s">
        <v>18</v>
      </c>
      <c r="E292" s="3">
        <v>44767</v>
      </c>
      <c r="F292" t="s">
        <v>39</v>
      </c>
      <c r="G292" s="2">
        <v>45037</v>
      </c>
      <c r="H292" t="s">
        <v>40</v>
      </c>
      <c r="I292" s="2">
        <v>44743</v>
      </c>
      <c r="J292">
        <v>805.41</v>
      </c>
      <c r="K292">
        <v>27.4</v>
      </c>
      <c r="L292" t="s">
        <v>19</v>
      </c>
      <c r="M292">
        <f t="shared" si="12"/>
        <v>805.41</v>
      </c>
      <c r="N292">
        <f t="shared" si="13"/>
        <v>0</v>
      </c>
      <c r="O292">
        <f t="shared" si="14"/>
        <v>805.41</v>
      </c>
    </row>
    <row r="293" spans="1:15" x14ac:dyDescent="0.2">
      <c r="A293" t="s">
        <v>41</v>
      </c>
      <c r="B293">
        <v>60564</v>
      </c>
      <c r="C293" t="s">
        <v>28</v>
      </c>
      <c r="D293" t="s">
        <v>22</v>
      </c>
      <c r="E293" s="3">
        <v>44815</v>
      </c>
      <c r="F293" t="s">
        <v>36</v>
      </c>
      <c r="G293" s="2">
        <v>44928</v>
      </c>
      <c r="H293" t="s">
        <v>42</v>
      </c>
      <c r="I293" s="2">
        <v>44743</v>
      </c>
      <c r="J293">
        <v>961.18</v>
      </c>
      <c r="K293">
        <v>27.4</v>
      </c>
      <c r="L293" t="s">
        <v>19</v>
      </c>
      <c r="M293">
        <f t="shared" si="12"/>
        <v>961.18</v>
      </c>
      <c r="N293">
        <f t="shared" si="13"/>
        <v>0</v>
      </c>
      <c r="O293">
        <f t="shared" si="14"/>
        <v>961.18</v>
      </c>
    </row>
    <row r="294" spans="1:15" x14ac:dyDescent="0.2">
      <c r="A294" t="s">
        <v>43</v>
      </c>
      <c r="B294">
        <v>60564</v>
      </c>
      <c r="C294" t="s">
        <v>28</v>
      </c>
      <c r="D294" t="s">
        <v>18</v>
      </c>
      <c r="E294" s="3">
        <v>44759</v>
      </c>
      <c r="F294" t="s">
        <v>33</v>
      </c>
      <c r="G294" s="2">
        <v>45025</v>
      </c>
      <c r="H294" t="s">
        <v>44</v>
      </c>
      <c r="I294" s="2">
        <v>44743</v>
      </c>
      <c r="J294">
        <v>625.38</v>
      </c>
      <c r="K294">
        <v>27.4</v>
      </c>
      <c r="L294" t="s">
        <v>19</v>
      </c>
      <c r="M294">
        <f t="shared" si="12"/>
        <v>625.38</v>
      </c>
      <c r="N294">
        <f t="shared" si="13"/>
        <v>0</v>
      </c>
      <c r="O294">
        <f t="shared" si="14"/>
        <v>625.38</v>
      </c>
    </row>
    <row r="295" spans="1:15" x14ac:dyDescent="0.2">
      <c r="A295" t="s">
        <v>45</v>
      </c>
      <c r="B295">
        <v>60565</v>
      </c>
      <c r="C295" t="s">
        <v>28</v>
      </c>
      <c r="D295" t="s">
        <v>18</v>
      </c>
      <c r="E295" s="3">
        <v>44815</v>
      </c>
      <c r="F295" t="s">
        <v>46</v>
      </c>
      <c r="G295" s="2">
        <v>44968</v>
      </c>
      <c r="H295" t="s">
        <v>47</v>
      </c>
      <c r="I295" s="2">
        <v>44743</v>
      </c>
      <c r="J295">
        <v>841.88</v>
      </c>
      <c r="K295">
        <v>27.4</v>
      </c>
      <c r="L295" t="s">
        <v>19</v>
      </c>
      <c r="M295">
        <f t="shared" si="12"/>
        <v>841.88</v>
      </c>
      <c r="N295">
        <f t="shared" si="13"/>
        <v>0</v>
      </c>
      <c r="O295">
        <f t="shared" si="14"/>
        <v>841.88</v>
      </c>
    </row>
    <row r="296" spans="1:15" x14ac:dyDescent="0.2">
      <c r="A296" t="s">
        <v>48</v>
      </c>
      <c r="B296">
        <v>60564</v>
      </c>
      <c r="C296" t="s">
        <v>28</v>
      </c>
      <c r="D296" t="s">
        <v>22</v>
      </c>
      <c r="E296" s="3">
        <v>44789</v>
      </c>
      <c r="F296" t="s">
        <v>46</v>
      </c>
      <c r="G296" s="2">
        <v>44984</v>
      </c>
      <c r="H296" t="s">
        <v>49</v>
      </c>
      <c r="I296" s="2">
        <v>44743</v>
      </c>
      <c r="J296">
        <v>1042.98</v>
      </c>
      <c r="K296">
        <v>27.4</v>
      </c>
      <c r="L296" t="s">
        <v>19</v>
      </c>
      <c r="M296">
        <f t="shared" si="12"/>
        <v>1042.98</v>
      </c>
      <c r="N296">
        <f t="shared" si="13"/>
        <v>0</v>
      </c>
      <c r="O296">
        <f t="shared" si="14"/>
        <v>1042.98</v>
      </c>
    </row>
    <row r="297" spans="1:15" x14ac:dyDescent="0.2">
      <c r="A297" t="s">
        <v>50</v>
      </c>
      <c r="B297">
        <v>60565</v>
      </c>
      <c r="C297" t="s">
        <v>28</v>
      </c>
      <c r="D297" t="s">
        <v>18</v>
      </c>
      <c r="E297" s="3">
        <v>44641</v>
      </c>
      <c r="F297" t="s">
        <v>33</v>
      </c>
      <c r="G297" s="2">
        <v>44804</v>
      </c>
      <c r="H297" t="s">
        <v>51</v>
      </c>
      <c r="I297" s="2">
        <v>44743</v>
      </c>
      <c r="J297">
        <v>829.78</v>
      </c>
      <c r="K297">
        <v>27.4</v>
      </c>
      <c r="L297" t="s">
        <v>19</v>
      </c>
      <c r="M297">
        <f t="shared" si="12"/>
        <v>829.78</v>
      </c>
      <c r="N297">
        <f t="shared" si="13"/>
        <v>0</v>
      </c>
      <c r="O297">
        <f t="shared" si="14"/>
        <v>829.78</v>
      </c>
    </row>
    <row r="298" spans="1:15" x14ac:dyDescent="0.2">
      <c r="A298" t="s">
        <v>32</v>
      </c>
      <c r="B298">
        <v>60564</v>
      </c>
      <c r="C298" t="s">
        <v>28</v>
      </c>
      <c r="D298" t="s">
        <v>14</v>
      </c>
      <c r="E298" s="3">
        <v>44602</v>
      </c>
      <c r="F298" t="s">
        <v>33</v>
      </c>
      <c r="G298" s="2">
        <v>44976</v>
      </c>
      <c r="H298" t="s">
        <v>34</v>
      </c>
      <c r="I298" s="2">
        <v>44774</v>
      </c>
      <c r="J298">
        <v>715.73</v>
      </c>
      <c r="K298">
        <v>54.2</v>
      </c>
      <c r="L298" t="s">
        <v>16</v>
      </c>
      <c r="M298">
        <f t="shared" si="12"/>
        <v>715.73</v>
      </c>
      <c r="N298">
        <f t="shared" si="13"/>
        <v>0</v>
      </c>
      <c r="O298">
        <f t="shared" si="14"/>
        <v>715.73</v>
      </c>
    </row>
    <row r="299" spans="1:15" x14ac:dyDescent="0.2">
      <c r="A299" t="s">
        <v>35</v>
      </c>
      <c r="B299">
        <v>60540</v>
      </c>
      <c r="C299" t="s">
        <v>28</v>
      </c>
      <c r="D299" t="s">
        <v>22</v>
      </c>
      <c r="E299" s="3">
        <v>44635</v>
      </c>
      <c r="F299" t="s">
        <v>36</v>
      </c>
      <c r="G299" s="2">
        <v>45023</v>
      </c>
      <c r="H299" t="s">
        <v>37</v>
      </c>
      <c r="I299" s="2">
        <v>44774</v>
      </c>
      <c r="J299">
        <v>914.27</v>
      </c>
      <c r="K299">
        <v>54.2</v>
      </c>
      <c r="L299" t="s">
        <v>16</v>
      </c>
      <c r="M299">
        <f t="shared" si="12"/>
        <v>914.27</v>
      </c>
      <c r="N299">
        <f t="shared" si="13"/>
        <v>0</v>
      </c>
      <c r="O299">
        <f t="shared" si="14"/>
        <v>914.27</v>
      </c>
    </row>
    <row r="300" spans="1:15" x14ac:dyDescent="0.2">
      <c r="A300" t="s">
        <v>38</v>
      </c>
      <c r="B300">
        <v>60563</v>
      </c>
      <c r="C300" t="s">
        <v>28</v>
      </c>
      <c r="D300" t="s">
        <v>18</v>
      </c>
      <c r="E300" s="3">
        <v>44767</v>
      </c>
      <c r="F300" t="s">
        <v>39</v>
      </c>
      <c r="G300" s="2">
        <v>45037</v>
      </c>
      <c r="H300" t="s">
        <v>40</v>
      </c>
      <c r="I300" s="2">
        <v>44774</v>
      </c>
      <c r="J300">
        <v>824.04</v>
      </c>
      <c r="K300">
        <v>54.2</v>
      </c>
      <c r="L300" t="s">
        <v>16</v>
      </c>
      <c r="M300">
        <f t="shared" si="12"/>
        <v>824.04</v>
      </c>
      <c r="N300">
        <f t="shared" si="13"/>
        <v>0</v>
      </c>
      <c r="O300">
        <f t="shared" si="14"/>
        <v>824.04</v>
      </c>
    </row>
    <row r="301" spans="1:15" x14ac:dyDescent="0.2">
      <c r="A301" t="s">
        <v>41</v>
      </c>
      <c r="B301">
        <v>60564</v>
      </c>
      <c r="C301" t="s">
        <v>28</v>
      </c>
      <c r="D301" t="s">
        <v>22</v>
      </c>
      <c r="E301" s="3">
        <v>44815</v>
      </c>
      <c r="F301" t="s">
        <v>36</v>
      </c>
      <c r="G301" s="2">
        <v>44928</v>
      </c>
      <c r="H301" t="s">
        <v>42</v>
      </c>
      <c r="I301" s="2">
        <v>44774</v>
      </c>
      <c r="J301">
        <v>718.7</v>
      </c>
      <c r="K301">
        <v>54.2</v>
      </c>
      <c r="L301" t="s">
        <v>16</v>
      </c>
      <c r="M301">
        <f t="shared" si="12"/>
        <v>718.7</v>
      </c>
      <c r="N301">
        <f t="shared" si="13"/>
        <v>0</v>
      </c>
      <c r="O301">
        <f t="shared" si="14"/>
        <v>718.7</v>
      </c>
    </row>
    <row r="302" spans="1:15" x14ac:dyDescent="0.2">
      <c r="A302" t="s">
        <v>43</v>
      </c>
      <c r="B302">
        <v>60564</v>
      </c>
      <c r="C302" t="s">
        <v>28</v>
      </c>
      <c r="D302" t="s">
        <v>18</v>
      </c>
      <c r="E302" s="3">
        <v>44759</v>
      </c>
      <c r="F302" t="s">
        <v>33</v>
      </c>
      <c r="G302" s="2">
        <v>45025</v>
      </c>
      <c r="H302" t="s">
        <v>44</v>
      </c>
      <c r="I302" s="2">
        <v>44774</v>
      </c>
      <c r="J302">
        <v>1061.67</v>
      </c>
      <c r="K302">
        <v>54.2</v>
      </c>
      <c r="L302" t="s">
        <v>16</v>
      </c>
      <c r="M302">
        <f t="shared" si="12"/>
        <v>1061.67</v>
      </c>
      <c r="N302">
        <f t="shared" si="13"/>
        <v>0</v>
      </c>
      <c r="O302">
        <f t="shared" si="14"/>
        <v>1061.67</v>
      </c>
    </row>
    <row r="303" spans="1:15" x14ac:dyDescent="0.2">
      <c r="A303" t="s">
        <v>45</v>
      </c>
      <c r="B303">
        <v>60565</v>
      </c>
      <c r="C303" t="s">
        <v>28</v>
      </c>
      <c r="D303" t="s">
        <v>18</v>
      </c>
      <c r="E303" s="3">
        <v>44815</v>
      </c>
      <c r="F303" t="s">
        <v>46</v>
      </c>
      <c r="G303" s="2">
        <v>44968</v>
      </c>
      <c r="H303" t="s">
        <v>47</v>
      </c>
      <c r="I303" s="2">
        <v>44774</v>
      </c>
      <c r="J303">
        <v>761.07</v>
      </c>
      <c r="K303">
        <v>54.2</v>
      </c>
      <c r="L303" t="s">
        <v>16</v>
      </c>
      <c r="M303">
        <f t="shared" si="12"/>
        <v>761.07</v>
      </c>
      <c r="N303">
        <f t="shared" si="13"/>
        <v>0</v>
      </c>
      <c r="O303">
        <f t="shared" si="14"/>
        <v>761.07</v>
      </c>
    </row>
    <row r="304" spans="1:15" x14ac:dyDescent="0.2">
      <c r="A304" t="s">
        <v>48</v>
      </c>
      <c r="B304">
        <v>60564</v>
      </c>
      <c r="C304" t="s">
        <v>28</v>
      </c>
      <c r="D304" t="s">
        <v>22</v>
      </c>
      <c r="E304" s="3">
        <v>44789</v>
      </c>
      <c r="F304" t="s">
        <v>46</v>
      </c>
      <c r="G304" s="2">
        <v>44984</v>
      </c>
      <c r="H304" t="s">
        <v>49</v>
      </c>
      <c r="I304" s="2">
        <v>44774</v>
      </c>
      <c r="J304">
        <v>994.97</v>
      </c>
      <c r="K304">
        <v>54.2</v>
      </c>
      <c r="L304" t="s">
        <v>16</v>
      </c>
      <c r="M304">
        <f t="shared" si="12"/>
        <v>994.97</v>
      </c>
      <c r="N304">
        <f t="shared" si="13"/>
        <v>0</v>
      </c>
      <c r="O304">
        <f t="shared" si="14"/>
        <v>994.97</v>
      </c>
    </row>
    <row r="305" spans="1:15" x14ac:dyDescent="0.2">
      <c r="A305" t="s">
        <v>50</v>
      </c>
      <c r="B305">
        <v>60565</v>
      </c>
      <c r="C305" t="s">
        <v>28</v>
      </c>
      <c r="D305" t="s">
        <v>18</v>
      </c>
      <c r="E305" s="3">
        <v>44641</v>
      </c>
      <c r="F305" t="s">
        <v>33</v>
      </c>
      <c r="G305" s="2">
        <v>44804</v>
      </c>
      <c r="H305" t="s">
        <v>51</v>
      </c>
      <c r="I305" s="2">
        <v>44774</v>
      </c>
      <c r="J305">
        <v>628.04999999999995</v>
      </c>
      <c r="K305">
        <v>54.2</v>
      </c>
      <c r="L305" t="s">
        <v>16</v>
      </c>
      <c r="M305">
        <f t="shared" si="12"/>
        <v>628.04999999999995</v>
      </c>
      <c r="N305">
        <f t="shared" si="13"/>
        <v>0</v>
      </c>
      <c r="O305">
        <f t="shared" si="14"/>
        <v>628.04999999999995</v>
      </c>
    </row>
    <row r="306" spans="1:15" x14ac:dyDescent="0.2">
      <c r="A306" t="s">
        <v>32</v>
      </c>
      <c r="B306">
        <v>60564</v>
      </c>
      <c r="C306" t="s">
        <v>28</v>
      </c>
      <c r="D306" t="s">
        <v>14</v>
      </c>
      <c r="E306" s="3">
        <v>44602</v>
      </c>
      <c r="F306" t="s">
        <v>33</v>
      </c>
      <c r="G306" s="2">
        <v>44976</v>
      </c>
      <c r="H306" t="s">
        <v>34</v>
      </c>
      <c r="I306" s="2">
        <v>44805</v>
      </c>
      <c r="J306">
        <v>839.2</v>
      </c>
      <c r="K306">
        <v>41.9</v>
      </c>
      <c r="L306" t="s">
        <v>16</v>
      </c>
      <c r="M306">
        <f t="shared" si="12"/>
        <v>839.2</v>
      </c>
      <c r="N306">
        <f t="shared" si="13"/>
        <v>0</v>
      </c>
      <c r="O306">
        <f t="shared" si="14"/>
        <v>839.2</v>
      </c>
    </row>
    <row r="307" spans="1:15" x14ac:dyDescent="0.2">
      <c r="A307" t="s">
        <v>35</v>
      </c>
      <c r="B307">
        <v>60540</v>
      </c>
      <c r="C307" t="s">
        <v>28</v>
      </c>
      <c r="D307" t="s">
        <v>22</v>
      </c>
      <c r="E307" s="3">
        <v>44635</v>
      </c>
      <c r="F307" t="s">
        <v>36</v>
      </c>
      <c r="G307" s="2">
        <v>45023</v>
      </c>
      <c r="H307" t="s">
        <v>37</v>
      </c>
      <c r="I307" s="2">
        <v>44805</v>
      </c>
      <c r="J307">
        <v>610.33000000000004</v>
      </c>
      <c r="K307">
        <v>41.9</v>
      </c>
      <c r="L307" t="s">
        <v>16</v>
      </c>
      <c r="M307">
        <f t="shared" si="12"/>
        <v>610.33000000000004</v>
      </c>
      <c r="N307">
        <f t="shared" si="13"/>
        <v>0</v>
      </c>
      <c r="O307">
        <f t="shared" si="14"/>
        <v>610.33000000000004</v>
      </c>
    </row>
    <row r="308" spans="1:15" x14ac:dyDescent="0.2">
      <c r="A308" t="s">
        <v>38</v>
      </c>
      <c r="B308">
        <v>60563</v>
      </c>
      <c r="C308" t="s">
        <v>28</v>
      </c>
      <c r="D308" t="s">
        <v>18</v>
      </c>
      <c r="E308" s="3">
        <v>44767</v>
      </c>
      <c r="F308" t="s">
        <v>39</v>
      </c>
      <c r="G308" s="2">
        <v>45037</v>
      </c>
      <c r="H308" t="s">
        <v>40</v>
      </c>
      <c r="I308" s="2">
        <v>44805</v>
      </c>
      <c r="J308">
        <v>882.34</v>
      </c>
      <c r="K308">
        <v>41.9</v>
      </c>
      <c r="L308" t="s">
        <v>16</v>
      </c>
      <c r="M308">
        <f t="shared" si="12"/>
        <v>882.34</v>
      </c>
      <c r="N308">
        <f t="shared" si="13"/>
        <v>0</v>
      </c>
      <c r="O308">
        <f t="shared" si="14"/>
        <v>882.34</v>
      </c>
    </row>
    <row r="309" spans="1:15" x14ac:dyDescent="0.2">
      <c r="A309" t="s">
        <v>41</v>
      </c>
      <c r="B309">
        <v>60564</v>
      </c>
      <c r="C309" t="s">
        <v>28</v>
      </c>
      <c r="D309" t="s">
        <v>22</v>
      </c>
      <c r="E309" s="3">
        <v>44815</v>
      </c>
      <c r="F309" t="s">
        <v>36</v>
      </c>
      <c r="G309" s="2">
        <v>44928</v>
      </c>
      <c r="H309" t="s">
        <v>42</v>
      </c>
      <c r="I309" s="2">
        <v>44805</v>
      </c>
      <c r="J309">
        <v>856.02</v>
      </c>
      <c r="K309">
        <v>41.9</v>
      </c>
      <c r="L309" t="s">
        <v>16</v>
      </c>
      <c r="M309">
        <f t="shared" si="12"/>
        <v>856.02</v>
      </c>
      <c r="N309">
        <f t="shared" si="13"/>
        <v>0</v>
      </c>
      <c r="O309">
        <f t="shared" si="14"/>
        <v>856.02</v>
      </c>
    </row>
    <row r="310" spans="1:15" x14ac:dyDescent="0.2">
      <c r="A310" t="s">
        <v>43</v>
      </c>
      <c r="B310">
        <v>60564</v>
      </c>
      <c r="C310" t="s">
        <v>28</v>
      </c>
      <c r="D310" t="s">
        <v>18</v>
      </c>
      <c r="E310" s="3">
        <v>44759</v>
      </c>
      <c r="F310" t="s">
        <v>33</v>
      </c>
      <c r="G310" s="2">
        <v>45025</v>
      </c>
      <c r="H310" t="s">
        <v>44</v>
      </c>
      <c r="I310" s="2">
        <v>44805</v>
      </c>
      <c r="J310">
        <v>756.92</v>
      </c>
      <c r="K310">
        <v>41.9</v>
      </c>
      <c r="L310" t="s">
        <v>16</v>
      </c>
      <c r="M310">
        <f t="shared" si="12"/>
        <v>756.92</v>
      </c>
      <c r="N310">
        <f t="shared" si="13"/>
        <v>0</v>
      </c>
      <c r="O310">
        <f t="shared" si="14"/>
        <v>756.92</v>
      </c>
    </row>
    <row r="311" spans="1:15" x14ac:dyDescent="0.2">
      <c r="A311" t="s">
        <v>45</v>
      </c>
      <c r="B311">
        <v>60565</v>
      </c>
      <c r="C311" t="s">
        <v>28</v>
      </c>
      <c r="D311" t="s">
        <v>18</v>
      </c>
      <c r="E311" s="3">
        <v>44815</v>
      </c>
      <c r="F311" t="s">
        <v>46</v>
      </c>
      <c r="G311" s="2">
        <v>44968</v>
      </c>
      <c r="H311" t="s">
        <v>47</v>
      </c>
      <c r="I311" s="2">
        <v>44805</v>
      </c>
      <c r="J311">
        <v>676.51</v>
      </c>
      <c r="K311">
        <v>41.9</v>
      </c>
      <c r="L311" t="s">
        <v>16</v>
      </c>
      <c r="M311">
        <f t="shared" si="12"/>
        <v>676.51</v>
      </c>
      <c r="N311">
        <f t="shared" si="13"/>
        <v>0</v>
      </c>
      <c r="O311">
        <f t="shared" si="14"/>
        <v>676.51</v>
      </c>
    </row>
    <row r="312" spans="1:15" x14ac:dyDescent="0.2">
      <c r="A312" t="s">
        <v>48</v>
      </c>
      <c r="B312">
        <v>60564</v>
      </c>
      <c r="C312" t="s">
        <v>28</v>
      </c>
      <c r="D312" t="s">
        <v>22</v>
      </c>
      <c r="E312" s="3">
        <v>44789</v>
      </c>
      <c r="F312" t="s">
        <v>46</v>
      </c>
      <c r="G312" s="2">
        <v>44984</v>
      </c>
      <c r="H312" t="s">
        <v>49</v>
      </c>
      <c r="I312" s="2">
        <v>44805</v>
      </c>
      <c r="J312">
        <v>743.62</v>
      </c>
      <c r="K312">
        <v>41.9</v>
      </c>
      <c r="L312" t="s">
        <v>16</v>
      </c>
      <c r="M312">
        <f t="shared" si="12"/>
        <v>743.62</v>
      </c>
      <c r="N312">
        <f t="shared" si="13"/>
        <v>0</v>
      </c>
      <c r="O312">
        <f t="shared" si="14"/>
        <v>743.62</v>
      </c>
    </row>
    <row r="313" spans="1:15" x14ac:dyDescent="0.2">
      <c r="A313" t="s">
        <v>50</v>
      </c>
      <c r="B313">
        <v>60565</v>
      </c>
      <c r="C313" t="s">
        <v>28</v>
      </c>
      <c r="D313" t="s">
        <v>18</v>
      </c>
      <c r="E313" s="3">
        <v>44641</v>
      </c>
      <c r="F313" t="s">
        <v>33</v>
      </c>
      <c r="G313" s="2">
        <v>44804</v>
      </c>
      <c r="H313" t="s">
        <v>51</v>
      </c>
      <c r="I313" s="2">
        <v>44805</v>
      </c>
      <c r="J313">
        <v>828.36</v>
      </c>
      <c r="K313">
        <v>41.9</v>
      </c>
      <c r="L313" t="s">
        <v>16</v>
      </c>
      <c r="M313">
        <f t="shared" si="12"/>
        <v>0</v>
      </c>
      <c r="N313">
        <f t="shared" si="13"/>
        <v>828.36</v>
      </c>
      <c r="O313">
        <f t="shared" si="14"/>
        <v>-828.36</v>
      </c>
    </row>
    <row r="314" spans="1:15" x14ac:dyDescent="0.2">
      <c r="A314" t="s">
        <v>32</v>
      </c>
      <c r="B314">
        <v>60564</v>
      </c>
      <c r="C314" t="s">
        <v>28</v>
      </c>
      <c r="D314" t="s">
        <v>14</v>
      </c>
      <c r="E314" s="3">
        <v>44602</v>
      </c>
      <c r="F314" t="s">
        <v>33</v>
      </c>
      <c r="G314" s="2">
        <v>44976</v>
      </c>
      <c r="H314" t="s">
        <v>34</v>
      </c>
      <c r="I314" s="2">
        <v>44835</v>
      </c>
      <c r="J314">
        <v>787.55</v>
      </c>
      <c r="K314">
        <v>74.099999999999994</v>
      </c>
      <c r="L314" t="s">
        <v>20</v>
      </c>
      <c r="M314">
        <f t="shared" si="12"/>
        <v>787.55</v>
      </c>
      <c r="N314">
        <f t="shared" si="13"/>
        <v>0</v>
      </c>
      <c r="O314">
        <f t="shared" si="14"/>
        <v>787.55</v>
      </c>
    </row>
    <row r="315" spans="1:15" x14ac:dyDescent="0.2">
      <c r="A315" t="s">
        <v>35</v>
      </c>
      <c r="B315">
        <v>60540</v>
      </c>
      <c r="C315" t="s">
        <v>28</v>
      </c>
      <c r="D315" t="s">
        <v>22</v>
      </c>
      <c r="E315" s="3">
        <v>44635</v>
      </c>
      <c r="F315" t="s">
        <v>36</v>
      </c>
      <c r="G315" s="2">
        <v>45023</v>
      </c>
      <c r="H315" t="s">
        <v>37</v>
      </c>
      <c r="I315" s="2">
        <v>44835</v>
      </c>
      <c r="J315">
        <v>859.91</v>
      </c>
      <c r="K315">
        <v>74.099999999999994</v>
      </c>
      <c r="L315" t="s">
        <v>20</v>
      </c>
      <c r="M315">
        <f t="shared" si="12"/>
        <v>859.91</v>
      </c>
      <c r="N315">
        <f t="shared" si="13"/>
        <v>0</v>
      </c>
      <c r="O315">
        <f t="shared" si="14"/>
        <v>859.91</v>
      </c>
    </row>
    <row r="316" spans="1:15" x14ac:dyDescent="0.2">
      <c r="A316" t="s">
        <v>38</v>
      </c>
      <c r="B316">
        <v>60563</v>
      </c>
      <c r="C316" t="s">
        <v>28</v>
      </c>
      <c r="D316" t="s">
        <v>18</v>
      </c>
      <c r="E316" s="3">
        <v>44767</v>
      </c>
      <c r="F316" t="s">
        <v>39</v>
      </c>
      <c r="G316" s="2">
        <v>45037</v>
      </c>
      <c r="H316" t="s">
        <v>40</v>
      </c>
      <c r="I316" s="2">
        <v>44835</v>
      </c>
      <c r="J316">
        <v>1005.25</v>
      </c>
      <c r="K316">
        <v>74.099999999999994</v>
      </c>
      <c r="L316" t="s">
        <v>20</v>
      </c>
      <c r="M316">
        <f t="shared" si="12"/>
        <v>1005.25</v>
      </c>
      <c r="N316">
        <f t="shared" si="13"/>
        <v>0</v>
      </c>
      <c r="O316">
        <f t="shared" si="14"/>
        <v>1005.25</v>
      </c>
    </row>
    <row r="317" spans="1:15" x14ac:dyDescent="0.2">
      <c r="A317" t="s">
        <v>41</v>
      </c>
      <c r="B317">
        <v>60564</v>
      </c>
      <c r="C317" t="s">
        <v>28</v>
      </c>
      <c r="D317" t="s">
        <v>22</v>
      </c>
      <c r="E317" s="3">
        <v>44815</v>
      </c>
      <c r="F317" t="s">
        <v>36</v>
      </c>
      <c r="G317" s="2">
        <v>44928</v>
      </c>
      <c r="H317" t="s">
        <v>42</v>
      </c>
      <c r="I317" s="2">
        <v>44835</v>
      </c>
      <c r="J317">
        <v>708.79</v>
      </c>
      <c r="K317">
        <v>74.099999999999994</v>
      </c>
      <c r="L317" t="s">
        <v>20</v>
      </c>
      <c r="M317">
        <f t="shared" si="12"/>
        <v>708.79</v>
      </c>
      <c r="N317">
        <f t="shared" si="13"/>
        <v>0</v>
      </c>
      <c r="O317">
        <f t="shared" si="14"/>
        <v>708.79</v>
      </c>
    </row>
    <row r="318" spans="1:15" x14ac:dyDescent="0.2">
      <c r="A318" t="s">
        <v>43</v>
      </c>
      <c r="B318">
        <v>60564</v>
      </c>
      <c r="C318" t="s">
        <v>28</v>
      </c>
      <c r="D318" t="s">
        <v>18</v>
      </c>
      <c r="E318" s="3">
        <v>44759</v>
      </c>
      <c r="F318" t="s">
        <v>33</v>
      </c>
      <c r="G318" s="2">
        <v>45025</v>
      </c>
      <c r="H318" t="s">
        <v>44</v>
      </c>
      <c r="I318" s="2">
        <v>44835</v>
      </c>
      <c r="J318">
        <v>849.46</v>
      </c>
      <c r="K318">
        <v>74.099999999999994</v>
      </c>
      <c r="L318" t="s">
        <v>20</v>
      </c>
      <c r="M318">
        <f t="shared" si="12"/>
        <v>849.46</v>
      </c>
      <c r="N318">
        <f t="shared" si="13"/>
        <v>0</v>
      </c>
      <c r="O318">
        <f t="shared" si="14"/>
        <v>849.46</v>
      </c>
    </row>
    <row r="319" spans="1:15" x14ac:dyDescent="0.2">
      <c r="A319" t="s">
        <v>45</v>
      </c>
      <c r="B319">
        <v>60565</v>
      </c>
      <c r="C319" t="s">
        <v>28</v>
      </c>
      <c r="D319" t="s">
        <v>18</v>
      </c>
      <c r="E319" s="3">
        <v>44815</v>
      </c>
      <c r="F319" t="s">
        <v>46</v>
      </c>
      <c r="G319" s="2">
        <v>44968</v>
      </c>
      <c r="H319" t="s">
        <v>47</v>
      </c>
      <c r="I319" s="2">
        <v>44835</v>
      </c>
      <c r="J319">
        <v>690.06</v>
      </c>
      <c r="K319">
        <v>74.099999999999994</v>
      </c>
      <c r="L319" t="s">
        <v>20</v>
      </c>
      <c r="M319">
        <f t="shared" si="12"/>
        <v>690.06</v>
      </c>
      <c r="N319">
        <f t="shared" si="13"/>
        <v>0</v>
      </c>
      <c r="O319">
        <f t="shared" si="14"/>
        <v>690.06</v>
      </c>
    </row>
    <row r="320" spans="1:15" x14ac:dyDescent="0.2">
      <c r="A320" t="s">
        <v>48</v>
      </c>
      <c r="B320">
        <v>60564</v>
      </c>
      <c r="C320" t="s">
        <v>28</v>
      </c>
      <c r="D320" t="s">
        <v>22</v>
      </c>
      <c r="E320" s="3">
        <v>44789</v>
      </c>
      <c r="F320" t="s">
        <v>46</v>
      </c>
      <c r="G320" s="2">
        <v>44984</v>
      </c>
      <c r="H320" t="s">
        <v>49</v>
      </c>
      <c r="I320" s="2">
        <v>44835</v>
      </c>
      <c r="J320">
        <v>443.18</v>
      </c>
      <c r="K320">
        <v>74.099999999999994</v>
      </c>
      <c r="L320" t="s">
        <v>20</v>
      </c>
      <c r="M320">
        <f t="shared" si="12"/>
        <v>443.18</v>
      </c>
      <c r="N320">
        <f t="shared" si="13"/>
        <v>0</v>
      </c>
      <c r="O320">
        <f t="shared" si="14"/>
        <v>443.18</v>
      </c>
    </row>
    <row r="321" spans="1:15" x14ac:dyDescent="0.2">
      <c r="A321" t="s">
        <v>50</v>
      </c>
      <c r="B321">
        <v>60565</v>
      </c>
      <c r="C321" t="s">
        <v>28</v>
      </c>
      <c r="D321" t="s">
        <v>18</v>
      </c>
      <c r="E321" s="3">
        <v>44641</v>
      </c>
      <c r="F321" t="s">
        <v>33</v>
      </c>
      <c r="G321" s="2">
        <v>44804</v>
      </c>
      <c r="H321" t="s">
        <v>51</v>
      </c>
      <c r="I321" s="2">
        <v>44835</v>
      </c>
      <c r="J321">
        <v>771.94</v>
      </c>
      <c r="K321">
        <v>74.099999999999994</v>
      </c>
      <c r="L321" t="s">
        <v>20</v>
      </c>
      <c r="M321">
        <f t="shared" si="12"/>
        <v>0</v>
      </c>
      <c r="N321">
        <f t="shared" si="13"/>
        <v>771.94</v>
      </c>
      <c r="O321">
        <f t="shared" si="14"/>
        <v>-771.94</v>
      </c>
    </row>
    <row r="322" spans="1:15" x14ac:dyDescent="0.2">
      <c r="A322" t="s">
        <v>32</v>
      </c>
      <c r="B322">
        <v>60564</v>
      </c>
      <c r="C322" t="s">
        <v>28</v>
      </c>
      <c r="D322" t="s">
        <v>14</v>
      </c>
      <c r="E322" s="3">
        <v>44602</v>
      </c>
      <c r="F322" t="s">
        <v>33</v>
      </c>
      <c r="G322" s="2">
        <v>44976</v>
      </c>
      <c r="H322" t="s">
        <v>34</v>
      </c>
      <c r="I322" s="2">
        <v>44866</v>
      </c>
      <c r="J322">
        <v>779.98</v>
      </c>
      <c r="K322">
        <v>42.6</v>
      </c>
      <c r="L322" t="s">
        <v>16</v>
      </c>
      <c r="M322">
        <f t="shared" ref="M322:M385" si="15">SUMIFS(J322,I322, "&lt;" &amp;G322,I322,"&lt;&gt;",G322,"&lt;&gt;")</f>
        <v>779.98</v>
      </c>
      <c r="N322">
        <f t="shared" ref="N322:N385" si="16">SUMIFS(J322,I322, "&gt;=" &amp;G322,I322,"&lt;&gt;",G322,"&lt;&gt;")</f>
        <v>0</v>
      </c>
      <c r="O322">
        <f t="shared" ref="O322:O385" si="17">SUM(M322-N322)</f>
        <v>779.98</v>
      </c>
    </row>
    <row r="323" spans="1:15" x14ac:dyDescent="0.2">
      <c r="A323" t="s">
        <v>35</v>
      </c>
      <c r="B323">
        <v>60540</v>
      </c>
      <c r="C323" t="s">
        <v>28</v>
      </c>
      <c r="D323" t="s">
        <v>22</v>
      </c>
      <c r="E323" s="3">
        <v>44635</v>
      </c>
      <c r="F323" t="s">
        <v>36</v>
      </c>
      <c r="G323" s="2">
        <v>45023</v>
      </c>
      <c r="H323" t="s">
        <v>37</v>
      </c>
      <c r="I323" s="2">
        <v>44866</v>
      </c>
      <c r="J323">
        <v>783.19</v>
      </c>
      <c r="K323">
        <v>42.6</v>
      </c>
      <c r="L323" t="s">
        <v>16</v>
      </c>
      <c r="M323">
        <f t="shared" si="15"/>
        <v>783.19</v>
      </c>
      <c r="N323">
        <f t="shared" si="16"/>
        <v>0</v>
      </c>
      <c r="O323">
        <f t="shared" si="17"/>
        <v>783.19</v>
      </c>
    </row>
    <row r="324" spans="1:15" x14ac:dyDescent="0.2">
      <c r="A324" t="s">
        <v>38</v>
      </c>
      <c r="B324">
        <v>60563</v>
      </c>
      <c r="C324" t="s">
        <v>28</v>
      </c>
      <c r="D324" t="s">
        <v>18</v>
      </c>
      <c r="E324" s="3">
        <v>44767</v>
      </c>
      <c r="F324" t="s">
        <v>39</v>
      </c>
      <c r="G324" s="2">
        <v>45037</v>
      </c>
      <c r="H324" t="s">
        <v>40</v>
      </c>
      <c r="I324" s="2">
        <v>44866</v>
      </c>
      <c r="J324">
        <v>825.12</v>
      </c>
      <c r="K324">
        <v>42.6</v>
      </c>
      <c r="L324" t="s">
        <v>16</v>
      </c>
      <c r="M324">
        <f t="shared" si="15"/>
        <v>825.12</v>
      </c>
      <c r="N324">
        <f t="shared" si="16"/>
        <v>0</v>
      </c>
      <c r="O324">
        <f t="shared" si="17"/>
        <v>825.12</v>
      </c>
    </row>
    <row r="325" spans="1:15" x14ac:dyDescent="0.2">
      <c r="A325" t="s">
        <v>41</v>
      </c>
      <c r="B325">
        <v>60564</v>
      </c>
      <c r="C325" t="s">
        <v>28</v>
      </c>
      <c r="D325" t="s">
        <v>22</v>
      </c>
      <c r="E325" s="3">
        <v>44815</v>
      </c>
      <c r="F325" t="s">
        <v>36</v>
      </c>
      <c r="G325" s="2">
        <v>44928</v>
      </c>
      <c r="H325" t="s">
        <v>42</v>
      </c>
      <c r="I325" s="2">
        <v>44866</v>
      </c>
      <c r="J325">
        <v>899.71</v>
      </c>
      <c r="K325">
        <v>42.6</v>
      </c>
      <c r="L325" t="s">
        <v>16</v>
      </c>
      <c r="M325">
        <f t="shared" si="15"/>
        <v>899.71</v>
      </c>
      <c r="N325">
        <f t="shared" si="16"/>
        <v>0</v>
      </c>
      <c r="O325">
        <f t="shared" si="17"/>
        <v>899.71</v>
      </c>
    </row>
    <row r="326" spans="1:15" x14ac:dyDescent="0.2">
      <c r="A326" t="s">
        <v>43</v>
      </c>
      <c r="B326">
        <v>60564</v>
      </c>
      <c r="C326" t="s">
        <v>28</v>
      </c>
      <c r="D326" t="s">
        <v>18</v>
      </c>
      <c r="E326" s="3">
        <v>44759</v>
      </c>
      <c r="F326" t="s">
        <v>33</v>
      </c>
      <c r="G326" s="2">
        <v>45025</v>
      </c>
      <c r="H326" t="s">
        <v>44</v>
      </c>
      <c r="I326" s="2">
        <v>44866</v>
      </c>
      <c r="J326">
        <v>864.06</v>
      </c>
      <c r="K326">
        <v>42.6</v>
      </c>
      <c r="L326" t="s">
        <v>16</v>
      </c>
      <c r="M326">
        <f t="shared" si="15"/>
        <v>864.06</v>
      </c>
      <c r="N326">
        <f t="shared" si="16"/>
        <v>0</v>
      </c>
      <c r="O326">
        <f t="shared" si="17"/>
        <v>864.06</v>
      </c>
    </row>
    <row r="327" spans="1:15" x14ac:dyDescent="0.2">
      <c r="A327" t="s">
        <v>45</v>
      </c>
      <c r="B327">
        <v>60565</v>
      </c>
      <c r="C327" t="s">
        <v>28</v>
      </c>
      <c r="D327" t="s">
        <v>18</v>
      </c>
      <c r="E327" s="3">
        <v>44815</v>
      </c>
      <c r="F327" t="s">
        <v>46</v>
      </c>
      <c r="G327" s="2">
        <v>44968</v>
      </c>
      <c r="H327" t="s">
        <v>47</v>
      </c>
      <c r="I327" s="2">
        <v>44866</v>
      </c>
      <c r="J327">
        <v>853.78</v>
      </c>
      <c r="K327">
        <v>42.6</v>
      </c>
      <c r="L327" t="s">
        <v>16</v>
      </c>
      <c r="M327">
        <f t="shared" si="15"/>
        <v>853.78</v>
      </c>
      <c r="N327">
        <f t="shared" si="16"/>
        <v>0</v>
      </c>
      <c r="O327">
        <f t="shared" si="17"/>
        <v>853.78</v>
      </c>
    </row>
    <row r="328" spans="1:15" x14ac:dyDescent="0.2">
      <c r="A328" t="s">
        <v>48</v>
      </c>
      <c r="B328">
        <v>60564</v>
      </c>
      <c r="C328" t="s">
        <v>28</v>
      </c>
      <c r="D328" t="s">
        <v>22</v>
      </c>
      <c r="E328" s="3">
        <v>44789</v>
      </c>
      <c r="F328" t="s">
        <v>46</v>
      </c>
      <c r="G328" s="2">
        <v>44984</v>
      </c>
      <c r="H328" t="s">
        <v>49</v>
      </c>
      <c r="I328" s="2">
        <v>44866</v>
      </c>
      <c r="J328">
        <v>764.35</v>
      </c>
      <c r="K328">
        <v>42.6</v>
      </c>
      <c r="L328" t="s">
        <v>16</v>
      </c>
      <c r="M328">
        <f t="shared" si="15"/>
        <v>764.35</v>
      </c>
      <c r="N328">
        <f t="shared" si="16"/>
        <v>0</v>
      </c>
      <c r="O328">
        <f t="shared" si="17"/>
        <v>764.35</v>
      </c>
    </row>
    <row r="329" spans="1:15" x14ac:dyDescent="0.2">
      <c r="A329" t="s">
        <v>50</v>
      </c>
      <c r="B329">
        <v>60565</v>
      </c>
      <c r="C329" t="s">
        <v>28</v>
      </c>
      <c r="D329" t="s">
        <v>18</v>
      </c>
      <c r="E329" s="3">
        <v>44641</v>
      </c>
      <c r="F329" t="s">
        <v>33</v>
      </c>
      <c r="G329" s="2">
        <v>44804</v>
      </c>
      <c r="H329" t="s">
        <v>51</v>
      </c>
      <c r="I329" s="2">
        <v>44866</v>
      </c>
      <c r="J329">
        <v>837.46</v>
      </c>
      <c r="K329">
        <v>42.6</v>
      </c>
      <c r="L329" t="s">
        <v>16</v>
      </c>
      <c r="M329">
        <f t="shared" si="15"/>
        <v>0</v>
      </c>
      <c r="N329">
        <f t="shared" si="16"/>
        <v>837.46</v>
      </c>
      <c r="O329">
        <f t="shared" si="17"/>
        <v>-837.46</v>
      </c>
    </row>
    <row r="330" spans="1:15" x14ac:dyDescent="0.2">
      <c r="A330" t="s">
        <v>32</v>
      </c>
      <c r="B330">
        <v>60564</v>
      </c>
      <c r="C330" t="s">
        <v>28</v>
      </c>
      <c r="D330" t="s">
        <v>14</v>
      </c>
      <c r="E330" s="3">
        <v>44602</v>
      </c>
      <c r="F330" t="s">
        <v>33</v>
      </c>
      <c r="G330" s="2">
        <v>44976</v>
      </c>
      <c r="H330" t="s">
        <v>34</v>
      </c>
      <c r="I330" s="2">
        <v>44896</v>
      </c>
      <c r="J330">
        <v>1002.47</v>
      </c>
      <c r="K330">
        <v>52.3</v>
      </c>
      <c r="L330" t="s">
        <v>16</v>
      </c>
      <c r="M330">
        <f t="shared" si="15"/>
        <v>1002.47</v>
      </c>
      <c r="N330">
        <f t="shared" si="16"/>
        <v>0</v>
      </c>
      <c r="O330">
        <f t="shared" si="17"/>
        <v>1002.47</v>
      </c>
    </row>
    <row r="331" spans="1:15" x14ac:dyDescent="0.2">
      <c r="A331" t="s">
        <v>35</v>
      </c>
      <c r="B331">
        <v>60540</v>
      </c>
      <c r="C331" t="s">
        <v>28</v>
      </c>
      <c r="D331" t="s">
        <v>22</v>
      </c>
      <c r="E331" s="3">
        <v>44635</v>
      </c>
      <c r="F331" t="s">
        <v>36</v>
      </c>
      <c r="G331" s="2">
        <v>45023</v>
      </c>
      <c r="H331" t="s">
        <v>37</v>
      </c>
      <c r="I331" s="2">
        <v>44896</v>
      </c>
      <c r="J331">
        <v>828.52</v>
      </c>
      <c r="K331">
        <v>52.3</v>
      </c>
      <c r="L331" t="s">
        <v>16</v>
      </c>
      <c r="M331">
        <f t="shared" si="15"/>
        <v>828.52</v>
      </c>
      <c r="N331">
        <f t="shared" si="16"/>
        <v>0</v>
      </c>
      <c r="O331">
        <f t="shared" si="17"/>
        <v>828.52</v>
      </c>
    </row>
    <row r="332" spans="1:15" x14ac:dyDescent="0.2">
      <c r="A332" t="s">
        <v>38</v>
      </c>
      <c r="B332">
        <v>60563</v>
      </c>
      <c r="C332" t="s">
        <v>28</v>
      </c>
      <c r="D332" t="s">
        <v>18</v>
      </c>
      <c r="E332" s="3">
        <v>44767</v>
      </c>
      <c r="F332" t="s">
        <v>39</v>
      </c>
      <c r="G332" s="2">
        <v>45037</v>
      </c>
      <c r="H332" t="s">
        <v>40</v>
      </c>
      <c r="I332" s="2">
        <v>44896</v>
      </c>
      <c r="J332">
        <v>754.62</v>
      </c>
      <c r="K332">
        <v>52.3</v>
      </c>
      <c r="L332" t="s">
        <v>16</v>
      </c>
      <c r="M332">
        <f t="shared" si="15"/>
        <v>754.62</v>
      </c>
      <c r="N332">
        <f t="shared" si="16"/>
        <v>0</v>
      </c>
      <c r="O332">
        <f t="shared" si="17"/>
        <v>754.62</v>
      </c>
    </row>
    <row r="333" spans="1:15" x14ac:dyDescent="0.2">
      <c r="A333" t="s">
        <v>41</v>
      </c>
      <c r="B333">
        <v>60564</v>
      </c>
      <c r="C333" t="s">
        <v>28</v>
      </c>
      <c r="D333" t="s">
        <v>22</v>
      </c>
      <c r="E333" s="3">
        <v>44815</v>
      </c>
      <c r="F333" t="s">
        <v>36</v>
      </c>
      <c r="G333" s="2">
        <v>44928</v>
      </c>
      <c r="H333" t="s">
        <v>42</v>
      </c>
      <c r="I333" s="2">
        <v>44896</v>
      </c>
      <c r="J333">
        <v>776.47</v>
      </c>
      <c r="K333">
        <v>52.3</v>
      </c>
      <c r="L333" t="s">
        <v>16</v>
      </c>
      <c r="M333">
        <f t="shared" si="15"/>
        <v>776.47</v>
      </c>
      <c r="N333">
        <f t="shared" si="16"/>
        <v>0</v>
      </c>
      <c r="O333">
        <f t="shared" si="17"/>
        <v>776.47</v>
      </c>
    </row>
    <row r="334" spans="1:15" x14ac:dyDescent="0.2">
      <c r="A334" t="s">
        <v>43</v>
      </c>
      <c r="B334">
        <v>60564</v>
      </c>
      <c r="C334" t="s">
        <v>28</v>
      </c>
      <c r="D334" t="s">
        <v>18</v>
      </c>
      <c r="E334" s="3">
        <v>44759</v>
      </c>
      <c r="F334" t="s">
        <v>33</v>
      </c>
      <c r="G334" s="2">
        <v>45025</v>
      </c>
      <c r="H334" t="s">
        <v>44</v>
      </c>
      <c r="I334" s="2">
        <v>44896</v>
      </c>
      <c r="J334">
        <v>718.52</v>
      </c>
      <c r="K334">
        <v>52.3</v>
      </c>
      <c r="L334" t="s">
        <v>16</v>
      </c>
      <c r="M334">
        <f t="shared" si="15"/>
        <v>718.52</v>
      </c>
      <c r="N334">
        <f t="shared" si="16"/>
        <v>0</v>
      </c>
      <c r="O334">
        <f t="shared" si="17"/>
        <v>718.52</v>
      </c>
    </row>
    <row r="335" spans="1:15" x14ac:dyDescent="0.2">
      <c r="A335" t="s">
        <v>45</v>
      </c>
      <c r="B335">
        <v>60565</v>
      </c>
      <c r="C335" t="s">
        <v>28</v>
      </c>
      <c r="D335" t="s">
        <v>18</v>
      </c>
      <c r="E335" s="3">
        <v>44815</v>
      </c>
      <c r="F335" t="s">
        <v>46</v>
      </c>
      <c r="G335" s="2">
        <v>44968</v>
      </c>
      <c r="H335" t="s">
        <v>47</v>
      </c>
      <c r="I335" s="2">
        <v>44896</v>
      </c>
      <c r="J335">
        <v>664.13</v>
      </c>
      <c r="K335">
        <v>52.3</v>
      </c>
      <c r="L335" t="s">
        <v>16</v>
      </c>
      <c r="M335">
        <f t="shared" si="15"/>
        <v>664.13</v>
      </c>
      <c r="N335">
        <f t="shared" si="16"/>
        <v>0</v>
      </c>
      <c r="O335">
        <f t="shared" si="17"/>
        <v>664.13</v>
      </c>
    </row>
    <row r="336" spans="1:15" x14ac:dyDescent="0.2">
      <c r="A336" t="s">
        <v>48</v>
      </c>
      <c r="B336">
        <v>60564</v>
      </c>
      <c r="C336" t="s">
        <v>28</v>
      </c>
      <c r="D336" t="s">
        <v>22</v>
      </c>
      <c r="E336" s="3">
        <v>44789</v>
      </c>
      <c r="F336" t="s">
        <v>46</v>
      </c>
      <c r="G336" s="2">
        <v>44984</v>
      </c>
      <c r="H336" t="s">
        <v>49</v>
      </c>
      <c r="I336" s="2">
        <v>44896</v>
      </c>
      <c r="J336">
        <v>823.83</v>
      </c>
      <c r="K336">
        <v>52.3</v>
      </c>
      <c r="L336" t="s">
        <v>16</v>
      </c>
      <c r="M336">
        <f t="shared" si="15"/>
        <v>823.83</v>
      </c>
      <c r="N336">
        <f t="shared" si="16"/>
        <v>0</v>
      </c>
      <c r="O336">
        <f t="shared" si="17"/>
        <v>823.83</v>
      </c>
    </row>
    <row r="337" spans="1:15" x14ac:dyDescent="0.2">
      <c r="A337" t="s">
        <v>50</v>
      </c>
      <c r="B337">
        <v>60565</v>
      </c>
      <c r="C337" t="s">
        <v>28</v>
      </c>
      <c r="D337" t="s">
        <v>18</v>
      </c>
      <c r="E337" s="3">
        <v>44641</v>
      </c>
      <c r="F337" t="s">
        <v>33</v>
      </c>
      <c r="G337" s="2">
        <v>44804</v>
      </c>
      <c r="H337" t="s">
        <v>51</v>
      </c>
      <c r="I337" s="2">
        <v>44896</v>
      </c>
      <c r="J337">
        <v>695.12</v>
      </c>
      <c r="K337">
        <v>52.3</v>
      </c>
      <c r="L337" t="s">
        <v>16</v>
      </c>
      <c r="M337">
        <f t="shared" si="15"/>
        <v>0</v>
      </c>
      <c r="N337">
        <f t="shared" si="16"/>
        <v>695.12</v>
      </c>
      <c r="O337">
        <f t="shared" si="17"/>
        <v>-695.12</v>
      </c>
    </row>
    <row r="338" spans="1:15" x14ac:dyDescent="0.2">
      <c r="A338" t="s">
        <v>32</v>
      </c>
      <c r="B338">
        <v>60564</v>
      </c>
      <c r="C338" t="s">
        <v>28</v>
      </c>
      <c r="D338" t="s">
        <v>14</v>
      </c>
      <c r="E338" s="3">
        <v>44602</v>
      </c>
      <c r="F338" t="s">
        <v>33</v>
      </c>
      <c r="G338" s="2">
        <v>44976</v>
      </c>
      <c r="H338" t="s">
        <v>34</v>
      </c>
      <c r="I338" s="2">
        <v>44927</v>
      </c>
      <c r="J338">
        <v>614.66999999999996</v>
      </c>
      <c r="K338">
        <v>76.2</v>
      </c>
      <c r="L338" t="s">
        <v>20</v>
      </c>
      <c r="M338">
        <f t="shared" si="15"/>
        <v>614.66999999999996</v>
      </c>
      <c r="N338">
        <f t="shared" si="16"/>
        <v>0</v>
      </c>
      <c r="O338">
        <f t="shared" si="17"/>
        <v>614.66999999999996</v>
      </c>
    </row>
    <row r="339" spans="1:15" x14ac:dyDescent="0.2">
      <c r="A339" t="s">
        <v>35</v>
      </c>
      <c r="B339">
        <v>60540</v>
      </c>
      <c r="C339" t="s">
        <v>28</v>
      </c>
      <c r="D339" t="s">
        <v>22</v>
      </c>
      <c r="E339" s="3">
        <v>44635</v>
      </c>
      <c r="F339" t="s">
        <v>36</v>
      </c>
      <c r="G339" s="2">
        <v>45023</v>
      </c>
      <c r="H339" t="s">
        <v>37</v>
      </c>
      <c r="I339" s="2">
        <v>44927</v>
      </c>
      <c r="J339">
        <v>652.80999999999995</v>
      </c>
      <c r="K339">
        <v>76.2</v>
      </c>
      <c r="L339" t="s">
        <v>20</v>
      </c>
      <c r="M339">
        <f t="shared" si="15"/>
        <v>652.80999999999995</v>
      </c>
      <c r="N339">
        <f t="shared" si="16"/>
        <v>0</v>
      </c>
      <c r="O339">
        <f t="shared" si="17"/>
        <v>652.80999999999995</v>
      </c>
    </row>
    <row r="340" spans="1:15" x14ac:dyDescent="0.2">
      <c r="A340" t="s">
        <v>38</v>
      </c>
      <c r="B340">
        <v>60563</v>
      </c>
      <c r="C340" t="s">
        <v>28</v>
      </c>
      <c r="D340" t="s">
        <v>18</v>
      </c>
      <c r="E340" s="3">
        <v>44767</v>
      </c>
      <c r="F340" t="s">
        <v>39</v>
      </c>
      <c r="G340" s="2">
        <v>45037</v>
      </c>
      <c r="H340" t="s">
        <v>40</v>
      </c>
      <c r="I340" s="2">
        <v>44927</v>
      </c>
      <c r="J340">
        <v>497.08</v>
      </c>
      <c r="K340">
        <v>76.2</v>
      </c>
      <c r="L340" t="s">
        <v>20</v>
      </c>
      <c r="M340">
        <f t="shared" si="15"/>
        <v>497.08</v>
      </c>
      <c r="N340">
        <f t="shared" si="16"/>
        <v>0</v>
      </c>
      <c r="O340">
        <f t="shared" si="17"/>
        <v>497.08</v>
      </c>
    </row>
    <row r="341" spans="1:15" x14ac:dyDescent="0.2">
      <c r="A341" t="s">
        <v>41</v>
      </c>
      <c r="B341">
        <v>60564</v>
      </c>
      <c r="C341" t="s">
        <v>28</v>
      </c>
      <c r="D341" t="s">
        <v>22</v>
      </c>
      <c r="E341" s="3">
        <v>44815</v>
      </c>
      <c r="F341" t="s">
        <v>36</v>
      </c>
      <c r="G341" s="2">
        <v>44928</v>
      </c>
      <c r="H341" t="s">
        <v>42</v>
      </c>
      <c r="I341" s="2">
        <v>44927</v>
      </c>
      <c r="J341">
        <v>746.78</v>
      </c>
      <c r="K341">
        <v>76.2</v>
      </c>
      <c r="L341" t="s">
        <v>20</v>
      </c>
      <c r="M341">
        <f t="shared" si="15"/>
        <v>746.78</v>
      </c>
      <c r="N341">
        <f t="shared" si="16"/>
        <v>0</v>
      </c>
      <c r="O341">
        <f t="shared" si="17"/>
        <v>746.78</v>
      </c>
    </row>
    <row r="342" spans="1:15" x14ac:dyDescent="0.2">
      <c r="A342" t="s">
        <v>43</v>
      </c>
      <c r="B342">
        <v>60564</v>
      </c>
      <c r="C342" t="s">
        <v>28</v>
      </c>
      <c r="D342" t="s">
        <v>18</v>
      </c>
      <c r="E342" s="3">
        <v>44759</v>
      </c>
      <c r="F342" t="s">
        <v>33</v>
      </c>
      <c r="G342" s="2">
        <v>45025</v>
      </c>
      <c r="H342" t="s">
        <v>44</v>
      </c>
      <c r="I342" s="2">
        <v>44927</v>
      </c>
      <c r="J342">
        <v>884.7</v>
      </c>
      <c r="K342">
        <v>76.2</v>
      </c>
      <c r="L342" t="s">
        <v>20</v>
      </c>
      <c r="M342">
        <f t="shared" si="15"/>
        <v>884.7</v>
      </c>
      <c r="N342">
        <f t="shared" si="16"/>
        <v>0</v>
      </c>
      <c r="O342">
        <f t="shared" si="17"/>
        <v>884.7</v>
      </c>
    </row>
    <row r="343" spans="1:15" x14ac:dyDescent="0.2">
      <c r="A343" t="s">
        <v>45</v>
      </c>
      <c r="B343">
        <v>60565</v>
      </c>
      <c r="C343" t="s">
        <v>28</v>
      </c>
      <c r="D343" t="s">
        <v>18</v>
      </c>
      <c r="E343" s="3">
        <v>44815</v>
      </c>
      <c r="F343" t="s">
        <v>46</v>
      </c>
      <c r="G343" s="2">
        <v>44968</v>
      </c>
      <c r="H343" t="s">
        <v>47</v>
      </c>
      <c r="I343" s="2">
        <v>44927</v>
      </c>
      <c r="J343">
        <v>839.72</v>
      </c>
      <c r="K343">
        <v>76.2</v>
      </c>
      <c r="L343" t="s">
        <v>20</v>
      </c>
      <c r="M343">
        <f t="shared" si="15"/>
        <v>839.72</v>
      </c>
      <c r="N343">
        <f t="shared" si="16"/>
        <v>0</v>
      </c>
      <c r="O343">
        <f t="shared" si="17"/>
        <v>839.72</v>
      </c>
    </row>
    <row r="344" spans="1:15" x14ac:dyDescent="0.2">
      <c r="A344" t="s">
        <v>48</v>
      </c>
      <c r="B344">
        <v>60564</v>
      </c>
      <c r="C344" t="s">
        <v>28</v>
      </c>
      <c r="D344" t="s">
        <v>22</v>
      </c>
      <c r="E344" s="3">
        <v>44789</v>
      </c>
      <c r="F344" t="s">
        <v>46</v>
      </c>
      <c r="G344" s="2">
        <v>44984</v>
      </c>
      <c r="H344" t="s">
        <v>49</v>
      </c>
      <c r="I344" s="2">
        <v>44927</v>
      </c>
      <c r="J344">
        <v>643.23</v>
      </c>
      <c r="K344">
        <v>76.2</v>
      </c>
      <c r="L344" t="s">
        <v>20</v>
      </c>
      <c r="M344">
        <f t="shared" si="15"/>
        <v>643.23</v>
      </c>
      <c r="N344">
        <f t="shared" si="16"/>
        <v>0</v>
      </c>
      <c r="O344">
        <f t="shared" si="17"/>
        <v>643.23</v>
      </c>
    </row>
    <row r="345" spans="1:15" x14ac:dyDescent="0.2">
      <c r="A345" t="s">
        <v>50</v>
      </c>
      <c r="B345">
        <v>60565</v>
      </c>
      <c r="C345" t="s">
        <v>28</v>
      </c>
      <c r="D345" t="s">
        <v>18</v>
      </c>
      <c r="E345" s="3">
        <v>44641</v>
      </c>
      <c r="F345" t="s">
        <v>33</v>
      </c>
      <c r="G345" s="2">
        <v>44804</v>
      </c>
      <c r="H345" t="s">
        <v>51</v>
      </c>
      <c r="I345" s="2">
        <v>44927</v>
      </c>
      <c r="J345">
        <v>488.06</v>
      </c>
      <c r="K345">
        <v>76.2</v>
      </c>
      <c r="L345" t="s">
        <v>20</v>
      </c>
      <c r="M345">
        <f t="shared" si="15"/>
        <v>0</v>
      </c>
      <c r="N345">
        <f t="shared" si="16"/>
        <v>488.06</v>
      </c>
      <c r="O345">
        <f t="shared" si="17"/>
        <v>-488.06</v>
      </c>
    </row>
    <row r="346" spans="1:15" x14ac:dyDescent="0.2">
      <c r="A346" t="s">
        <v>32</v>
      </c>
      <c r="B346">
        <v>60564</v>
      </c>
      <c r="C346" t="s">
        <v>28</v>
      </c>
      <c r="D346" t="s">
        <v>14</v>
      </c>
      <c r="E346" s="3">
        <v>44602</v>
      </c>
      <c r="F346" t="s">
        <v>33</v>
      </c>
      <c r="G346" s="2">
        <v>44976</v>
      </c>
      <c r="H346" t="s">
        <v>34</v>
      </c>
      <c r="I346" s="2">
        <v>44958</v>
      </c>
      <c r="J346">
        <v>698.57</v>
      </c>
      <c r="K346">
        <v>73.7</v>
      </c>
      <c r="L346" t="s">
        <v>20</v>
      </c>
      <c r="M346">
        <f t="shared" si="15"/>
        <v>698.57</v>
      </c>
      <c r="N346">
        <f t="shared" si="16"/>
        <v>0</v>
      </c>
      <c r="O346">
        <f t="shared" si="17"/>
        <v>698.57</v>
      </c>
    </row>
    <row r="347" spans="1:15" x14ac:dyDescent="0.2">
      <c r="A347" t="s">
        <v>35</v>
      </c>
      <c r="B347">
        <v>60540</v>
      </c>
      <c r="C347" t="s">
        <v>28</v>
      </c>
      <c r="D347" t="s">
        <v>22</v>
      </c>
      <c r="E347" s="3">
        <v>44635</v>
      </c>
      <c r="F347" t="s">
        <v>36</v>
      </c>
      <c r="G347" s="2">
        <v>45023</v>
      </c>
      <c r="H347" t="s">
        <v>37</v>
      </c>
      <c r="I347" s="2">
        <v>44958</v>
      </c>
      <c r="J347">
        <v>721.72</v>
      </c>
      <c r="K347">
        <v>73.7</v>
      </c>
      <c r="L347" t="s">
        <v>20</v>
      </c>
      <c r="M347">
        <f t="shared" si="15"/>
        <v>721.72</v>
      </c>
      <c r="N347">
        <f t="shared" si="16"/>
        <v>0</v>
      </c>
      <c r="O347">
        <f t="shared" si="17"/>
        <v>721.72</v>
      </c>
    </row>
    <row r="348" spans="1:15" x14ac:dyDescent="0.2">
      <c r="A348" t="s">
        <v>38</v>
      </c>
      <c r="B348">
        <v>60563</v>
      </c>
      <c r="C348" t="s">
        <v>28</v>
      </c>
      <c r="D348" t="s">
        <v>18</v>
      </c>
      <c r="E348" s="3">
        <v>44767</v>
      </c>
      <c r="F348" t="s">
        <v>39</v>
      </c>
      <c r="G348" s="2">
        <v>45037</v>
      </c>
      <c r="H348" t="s">
        <v>40</v>
      </c>
      <c r="I348" s="2">
        <v>44958</v>
      </c>
      <c r="J348">
        <v>896.13</v>
      </c>
      <c r="K348">
        <v>73.7</v>
      </c>
      <c r="L348" t="s">
        <v>20</v>
      </c>
      <c r="M348">
        <f t="shared" si="15"/>
        <v>896.13</v>
      </c>
      <c r="N348">
        <f t="shared" si="16"/>
        <v>0</v>
      </c>
      <c r="O348">
        <f t="shared" si="17"/>
        <v>896.13</v>
      </c>
    </row>
    <row r="349" spans="1:15" x14ac:dyDescent="0.2">
      <c r="A349" t="s">
        <v>41</v>
      </c>
      <c r="B349">
        <v>60564</v>
      </c>
      <c r="C349" t="s">
        <v>28</v>
      </c>
      <c r="D349" t="s">
        <v>22</v>
      </c>
      <c r="E349" s="3">
        <v>44815</v>
      </c>
      <c r="F349" t="s">
        <v>36</v>
      </c>
      <c r="G349" s="2">
        <v>44928</v>
      </c>
      <c r="H349" t="s">
        <v>42</v>
      </c>
      <c r="I349" s="2">
        <v>44958</v>
      </c>
      <c r="J349">
        <v>701.51</v>
      </c>
      <c r="K349">
        <v>73.7</v>
      </c>
      <c r="L349" t="s">
        <v>20</v>
      </c>
      <c r="M349">
        <f t="shared" si="15"/>
        <v>0</v>
      </c>
      <c r="N349">
        <f t="shared" si="16"/>
        <v>701.51</v>
      </c>
      <c r="O349">
        <f t="shared" si="17"/>
        <v>-701.51</v>
      </c>
    </row>
    <row r="350" spans="1:15" x14ac:dyDescent="0.2">
      <c r="A350" t="s">
        <v>43</v>
      </c>
      <c r="B350">
        <v>60564</v>
      </c>
      <c r="C350" t="s">
        <v>28</v>
      </c>
      <c r="D350" t="s">
        <v>18</v>
      </c>
      <c r="E350" s="3">
        <v>44759</v>
      </c>
      <c r="F350" t="s">
        <v>33</v>
      </c>
      <c r="G350" s="2">
        <v>45025</v>
      </c>
      <c r="H350" t="s">
        <v>44</v>
      </c>
      <c r="I350" s="2">
        <v>44958</v>
      </c>
      <c r="J350">
        <v>726.6</v>
      </c>
      <c r="K350">
        <v>73.7</v>
      </c>
      <c r="L350" t="s">
        <v>20</v>
      </c>
      <c r="M350">
        <f t="shared" si="15"/>
        <v>726.6</v>
      </c>
      <c r="N350">
        <f t="shared" si="16"/>
        <v>0</v>
      </c>
      <c r="O350">
        <f t="shared" si="17"/>
        <v>726.6</v>
      </c>
    </row>
    <row r="351" spans="1:15" x14ac:dyDescent="0.2">
      <c r="A351" t="s">
        <v>45</v>
      </c>
      <c r="B351">
        <v>60565</v>
      </c>
      <c r="C351" t="s">
        <v>28</v>
      </c>
      <c r="D351" t="s">
        <v>18</v>
      </c>
      <c r="E351" s="3">
        <v>44815</v>
      </c>
      <c r="F351" t="s">
        <v>46</v>
      </c>
      <c r="G351" s="2">
        <v>44968</v>
      </c>
      <c r="H351" t="s">
        <v>47</v>
      </c>
      <c r="I351" s="2">
        <v>44958</v>
      </c>
      <c r="J351">
        <v>630.96</v>
      </c>
      <c r="K351">
        <v>73.7</v>
      </c>
      <c r="L351" t="s">
        <v>20</v>
      </c>
      <c r="M351">
        <f t="shared" si="15"/>
        <v>630.96</v>
      </c>
      <c r="N351">
        <f t="shared" si="16"/>
        <v>0</v>
      </c>
      <c r="O351">
        <f t="shared" si="17"/>
        <v>630.96</v>
      </c>
    </row>
    <row r="352" spans="1:15" x14ac:dyDescent="0.2">
      <c r="A352" t="s">
        <v>48</v>
      </c>
      <c r="B352">
        <v>60564</v>
      </c>
      <c r="C352" t="s">
        <v>28</v>
      </c>
      <c r="D352" t="s">
        <v>22</v>
      </c>
      <c r="E352" s="3">
        <v>44789</v>
      </c>
      <c r="F352" t="s">
        <v>46</v>
      </c>
      <c r="G352" s="2">
        <v>44984</v>
      </c>
      <c r="H352" t="s">
        <v>49</v>
      </c>
      <c r="I352" s="2">
        <v>44958</v>
      </c>
      <c r="J352">
        <v>677.85</v>
      </c>
      <c r="K352">
        <v>73.7</v>
      </c>
      <c r="L352" t="s">
        <v>20</v>
      </c>
      <c r="M352">
        <f t="shared" si="15"/>
        <v>677.85</v>
      </c>
      <c r="N352">
        <f t="shared" si="16"/>
        <v>0</v>
      </c>
      <c r="O352">
        <f t="shared" si="17"/>
        <v>677.85</v>
      </c>
    </row>
    <row r="353" spans="1:15" x14ac:dyDescent="0.2">
      <c r="A353" t="s">
        <v>50</v>
      </c>
      <c r="B353">
        <v>60565</v>
      </c>
      <c r="C353" t="s">
        <v>28</v>
      </c>
      <c r="D353" t="s">
        <v>18</v>
      </c>
      <c r="E353" s="3">
        <v>44641</v>
      </c>
      <c r="F353" t="s">
        <v>33</v>
      </c>
      <c r="G353" s="2">
        <v>44804</v>
      </c>
      <c r="H353" t="s">
        <v>51</v>
      </c>
      <c r="I353" s="2">
        <v>44958</v>
      </c>
      <c r="J353">
        <v>664.91</v>
      </c>
      <c r="K353">
        <v>73.7</v>
      </c>
      <c r="L353" t="s">
        <v>20</v>
      </c>
      <c r="M353">
        <f t="shared" si="15"/>
        <v>0</v>
      </c>
      <c r="N353">
        <f t="shared" si="16"/>
        <v>664.91</v>
      </c>
      <c r="O353">
        <f t="shared" si="17"/>
        <v>-664.91</v>
      </c>
    </row>
    <row r="354" spans="1:15" x14ac:dyDescent="0.2">
      <c r="A354" t="s">
        <v>32</v>
      </c>
      <c r="B354">
        <v>60564</v>
      </c>
      <c r="C354" t="s">
        <v>28</v>
      </c>
      <c r="D354" t="s">
        <v>14</v>
      </c>
      <c r="E354" s="3">
        <v>44602</v>
      </c>
      <c r="F354" t="s">
        <v>33</v>
      </c>
      <c r="G354" s="2">
        <v>44976</v>
      </c>
      <c r="H354" t="s">
        <v>34</v>
      </c>
      <c r="I354" s="2">
        <v>44986</v>
      </c>
      <c r="J354">
        <v>720.19</v>
      </c>
      <c r="K354">
        <v>52.8</v>
      </c>
      <c r="L354" t="s">
        <v>16</v>
      </c>
      <c r="M354">
        <f t="shared" si="15"/>
        <v>0</v>
      </c>
      <c r="N354">
        <f t="shared" si="16"/>
        <v>720.19</v>
      </c>
      <c r="O354">
        <f t="shared" si="17"/>
        <v>-720.19</v>
      </c>
    </row>
    <row r="355" spans="1:15" x14ac:dyDescent="0.2">
      <c r="A355" t="s">
        <v>35</v>
      </c>
      <c r="B355">
        <v>60540</v>
      </c>
      <c r="C355" t="s">
        <v>28</v>
      </c>
      <c r="D355" t="s">
        <v>22</v>
      </c>
      <c r="E355" s="3">
        <v>44635</v>
      </c>
      <c r="F355" t="s">
        <v>36</v>
      </c>
      <c r="G355" s="2">
        <v>45023</v>
      </c>
      <c r="H355" t="s">
        <v>37</v>
      </c>
      <c r="I355" s="2">
        <v>44986</v>
      </c>
      <c r="J355">
        <v>652.80999999999995</v>
      </c>
      <c r="K355">
        <v>52.8</v>
      </c>
      <c r="L355" t="s">
        <v>16</v>
      </c>
      <c r="M355">
        <f t="shared" si="15"/>
        <v>652.80999999999995</v>
      </c>
      <c r="N355">
        <f t="shared" si="16"/>
        <v>0</v>
      </c>
      <c r="O355">
        <f t="shared" si="17"/>
        <v>652.80999999999995</v>
      </c>
    </row>
    <row r="356" spans="1:15" x14ac:dyDescent="0.2">
      <c r="A356" t="s">
        <v>38</v>
      </c>
      <c r="B356">
        <v>60563</v>
      </c>
      <c r="C356" t="s">
        <v>28</v>
      </c>
      <c r="D356" t="s">
        <v>18</v>
      </c>
      <c r="E356" s="3">
        <v>44767</v>
      </c>
      <c r="F356" t="s">
        <v>39</v>
      </c>
      <c r="G356" s="2">
        <v>45037</v>
      </c>
      <c r="H356" t="s">
        <v>40</v>
      </c>
      <c r="I356" s="2">
        <v>44986</v>
      </c>
      <c r="J356">
        <v>673.68</v>
      </c>
      <c r="K356">
        <v>52.8</v>
      </c>
      <c r="L356" t="s">
        <v>16</v>
      </c>
      <c r="M356">
        <f t="shared" si="15"/>
        <v>673.68</v>
      </c>
      <c r="N356">
        <f t="shared" si="16"/>
        <v>0</v>
      </c>
      <c r="O356">
        <f t="shared" si="17"/>
        <v>673.68</v>
      </c>
    </row>
    <row r="357" spans="1:15" x14ac:dyDescent="0.2">
      <c r="A357" t="s">
        <v>41</v>
      </c>
      <c r="B357">
        <v>60564</v>
      </c>
      <c r="C357" t="s">
        <v>28</v>
      </c>
      <c r="D357" t="s">
        <v>22</v>
      </c>
      <c r="E357" s="3">
        <v>44815</v>
      </c>
      <c r="F357" t="s">
        <v>36</v>
      </c>
      <c r="G357" s="2">
        <v>44928</v>
      </c>
      <c r="H357" t="s">
        <v>42</v>
      </c>
      <c r="I357" s="2">
        <v>44986</v>
      </c>
      <c r="J357">
        <v>563.42999999999995</v>
      </c>
      <c r="K357">
        <v>52.8</v>
      </c>
      <c r="L357" t="s">
        <v>16</v>
      </c>
      <c r="M357">
        <f t="shared" si="15"/>
        <v>0</v>
      </c>
      <c r="N357">
        <f t="shared" si="16"/>
        <v>563.42999999999995</v>
      </c>
      <c r="O357">
        <f t="shared" si="17"/>
        <v>-563.42999999999995</v>
      </c>
    </row>
    <row r="358" spans="1:15" x14ac:dyDescent="0.2">
      <c r="A358" t="s">
        <v>43</v>
      </c>
      <c r="B358">
        <v>60564</v>
      </c>
      <c r="C358" t="s">
        <v>28</v>
      </c>
      <c r="D358" t="s">
        <v>18</v>
      </c>
      <c r="E358" s="3">
        <v>44759</v>
      </c>
      <c r="F358" t="s">
        <v>33</v>
      </c>
      <c r="G358" s="2">
        <v>45025</v>
      </c>
      <c r="H358" t="s">
        <v>44</v>
      </c>
      <c r="I358" s="2">
        <v>44986</v>
      </c>
      <c r="J358">
        <v>678.65</v>
      </c>
      <c r="K358">
        <v>52.8</v>
      </c>
      <c r="L358" t="s">
        <v>16</v>
      </c>
      <c r="M358">
        <f t="shared" si="15"/>
        <v>678.65</v>
      </c>
      <c r="N358">
        <f t="shared" si="16"/>
        <v>0</v>
      </c>
      <c r="O358">
        <f t="shared" si="17"/>
        <v>678.65</v>
      </c>
    </row>
    <row r="359" spans="1:15" x14ac:dyDescent="0.2">
      <c r="A359" t="s">
        <v>45</v>
      </c>
      <c r="B359">
        <v>60565</v>
      </c>
      <c r="C359" t="s">
        <v>28</v>
      </c>
      <c r="D359" t="s">
        <v>18</v>
      </c>
      <c r="E359" s="3">
        <v>44815</v>
      </c>
      <c r="F359" t="s">
        <v>46</v>
      </c>
      <c r="G359" s="2">
        <v>44968</v>
      </c>
      <c r="H359" t="s">
        <v>47</v>
      </c>
      <c r="I359" s="2">
        <v>44986</v>
      </c>
      <c r="J359">
        <v>761.62</v>
      </c>
      <c r="K359">
        <v>52.8</v>
      </c>
      <c r="L359" t="s">
        <v>16</v>
      </c>
      <c r="M359">
        <f t="shared" si="15"/>
        <v>0</v>
      </c>
      <c r="N359">
        <f t="shared" si="16"/>
        <v>761.62</v>
      </c>
      <c r="O359">
        <f t="shared" si="17"/>
        <v>-761.62</v>
      </c>
    </row>
    <row r="360" spans="1:15" x14ac:dyDescent="0.2">
      <c r="A360" t="s">
        <v>48</v>
      </c>
      <c r="B360">
        <v>60564</v>
      </c>
      <c r="C360" t="s">
        <v>28</v>
      </c>
      <c r="D360" t="s">
        <v>22</v>
      </c>
      <c r="E360" s="3">
        <v>44789</v>
      </c>
      <c r="F360" t="s">
        <v>46</v>
      </c>
      <c r="G360" s="2">
        <v>44984</v>
      </c>
      <c r="H360" t="s">
        <v>49</v>
      </c>
      <c r="I360" s="2">
        <v>44986</v>
      </c>
      <c r="J360">
        <v>617.13</v>
      </c>
      <c r="K360">
        <v>52.8</v>
      </c>
      <c r="L360" t="s">
        <v>16</v>
      </c>
      <c r="M360">
        <f t="shared" si="15"/>
        <v>0</v>
      </c>
      <c r="N360">
        <f t="shared" si="16"/>
        <v>617.13</v>
      </c>
      <c r="O360">
        <f t="shared" si="17"/>
        <v>-617.13</v>
      </c>
    </row>
    <row r="361" spans="1:15" x14ac:dyDescent="0.2">
      <c r="A361" t="s">
        <v>50</v>
      </c>
      <c r="B361">
        <v>60565</v>
      </c>
      <c r="C361" t="s">
        <v>28</v>
      </c>
      <c r="D361" t="s">
        <v>18</v>
      </c>
      <c r="E361" s="3">
        <v>44641</v>
      </c>
      <c r="F361" t="s">
        <v>33</v>
      </c>
      <c r="G361" s="2">
        <v>44804</v>
      </c>
      <c r="H361" t="s">
        <v>51</v>
      </c>
      <c r="I361" s="2">
        <v>44986</v>
      </c>
      <c r="J361">
        <v>595.41</v>
      </c>
      <c r="K361">
        <v>52.8</v>
      </c>
      <c r="L361" t="s">
        <v>16</v>
      </c>
      <c r="M361">
        <f t="shared" si="15"/>
        <v>0</v>
      </c>
      <c r="N361">
        <f t="shared" si="16"/>
        <v>595.41</v>
      </c>
      <c r="O361">
        <f t="shared" si="17"/>
        <v>-595.41</v>
      </c>
    </row>
    <row r="362" spans="1:15" x14ac:dyDescent="0.2">
      <c r="A362" t="s">
        <v>32</v>
      </c>
      <c r="B362">
        <v>60564</v>
      </c>
      <c r="C362" t="s">
        <v>28</v>
      </c>
      <c r="D362" t="s">
        <v>14</v>
      </c>
      <c r="E362" s="3">
        <v>44602</v>
      </c>
      <c r="F362" t="s">
        <v>33</v>
      </c>
      <c r="G362" s="2">
        <v>44976</v>
      </c>
      <c r="H362" t="s">
        <v>34</v>
      </c>
      <c r="I362" s="2">
        <v>45017</v>
      </c>
      <c r="J362">
        <v>619.53</v>
      </c>
      <c r="K362">
        <v>103.1</v>
      </c>
      <c r="L362" t="s">
        <v>20</v>
      </c>
      <c r="M362">
        <f t="shared" si="15"/>
        <v>0</v>
      </c>
      <c r="N362">
        <f t="shared" si="16"/>
        <v>619.53</v>
      </c>
      <c r="O362">
        <f t="shared" si="17"/>
        <v>-619.53</v>
      </c>
    </row>
    <row r="363" spans="1:15" x14ac:dyDescent="0.2">
      <c r="A363" t="s">
        <v>35</v>
      </c>
      <c r="B363">
        <v>60540</v>
      </c>
      <c r="C363" t="s">
        <v>28</v>
      </c>
      <c r="D363" t="s">
        <v>22</v>
      </c>
      <c r="E363" s="3">
        <v>44635</v>
      </c>
      <c r="F363" t="s">
        <v>36</v>
      </c>
      <c r="G363" s="2">
        <v>45023</v>
      </c>
      <c r="H363" t="s">
        <v>37</v>
      </c>
      <c r="I363" s="2">
        <v>45017</v>
      </c>
      <c r="J363">
        <v>644.38</v>
      </c>
      <c r="K363">
        <v>103.1</v>
      </c>
      <c r="L363" t="s">
        <v>20</v>
      </c>
      <c r="M363">
        <f t="shared" si="15"/>
        <v>644.38</v>
      </c>
      <c r="N363">
        <f t="shared" si="16"/>
        <v>0</v>
      </c>
      <c r="O363">
        <f t="shared" si="17"/>
        <v>644.38</v>
      </c>
    </row>
    <row r="364" spans="1:15" x14ac:dyDescent="0.2">
      <c r="A364" t="s">
        <v>38</v>
      </c>
      <c r="B364">
        <v>60563</v>
      </c>
      <c r="C364" t="s">
        <v>28</v>
      </c>
      <c r="D364" t="s">
        <v>18</v>
      </c>
      <c r="E364" s="3">
        <v>44767</v>
      </c>
      <c r="F364" t="s">
        <v>39</v>
      </c>
      <c r="G364" s="2">
        <v>45037</v>
      </c>
      <c r="H364" t="s">
        <v>40</v>
      </c>
      <c r="I364" s="2">
        <v>45017</v>
      </c>
      <c r="J364">
        <v>753.48</v>
      </c>
      <c r="K364">
        <v>103.1</v>
      </c>
      <c r="L364" t="s">
        <v>20</v>
      </c>
      <c r="M364">
        <f t="shared" si="15"/>
        <v>753.48</v>
      </c>
      <c r="N364">
        <f t="shared" si="16"/>
        <v>0</v>
      </c>
      <c r="O364">
        <f t="shared" si="17"/>
        <v>753.48</v>
      </c>
    </row>
    <row r="365" spans="1:15" x14ac:dyDescent="0.2">
      <c r="A365" t="s">
        <v>41</v>
      </c>
      <c r="B365">
        <v>60564</v>
      </c>
      <c r="C365" t="s">
        <v>28</v>
      </c>
      <c r="D365" t="s">
        <v>22</v>
      </c>
      <c r="E365" s="3">
        <v>44815</v>
      </c>
      <c r="F365" t="s">
        <v>36</v>
      </c>
      <c r="G365" s="2">
        <v>44928</v>
      </c>
      <c r="H365" t="s">
        <v>42</v>
      </c>
      <c r="I365" s="2">
        <v>45017</v>
      </c>
      <c r="J365">
        <v>750.41</v>
      </c>
      <c r="K365">
        <v>103.1</v>
      </c>
      <c r="L365" t="s">
        <v>20</v>
      </c>
      <c r="M365">
        <f t="shared" si="15"/>
        <v>0</v>
      </c>
      <c r="N365">
        <f t="shared" si="16"/>
        <v>750.41</v>
      </c>
      <c r="O365">
        <f t="shared" si="17"/>
        <v>-750.41</v>
      </c>
    </row>
    <row r="366" spans="1:15" x14ac:dyDescent="0.2">
      <c r="A366" t="s">
        <v>43</v>
      </c>
      <c r="B366">
        <v>60564</v>
      </c>
      <c r="C366" t="s">
        <v>28</v>
      </c>
      <c r="D366" t="s">
        <v>18</v>
      </c>
      <c r="E366" s="3">
        <v>44759</v>
      </c>
      <c r="F366" t="s">
        <v>33</v>
      </c>
      <c r="G366" s="2">
        <v>45025</v>
      </c>
      <c r="H366" t="s">
        <v>44</v>
      </c>
      <c r="I366" s="2">
        <v>45017</v>
      </c>
      <c r="J366">
        <v>713.85</v>
      </c>
      <c r="K366">
        <v>103.1</v>
      </c>
      <c r="L366" t="s">
        <v>20</v>
      </c>
      <c r="M366">
        <f t="shared" si="15"/>
        <v>713.85</v>
      </c>
      <c r="N366">
        <f t="shared" si="16"/>
        <v>0</v>
      </c>
      <c r="O366">
        <f t="shared" si="17"/>
        <v>713.85</v>
      </c>
    </row>
    <row r="367" spans="1:15" x14ac:dyDescent="0.2">
      <c r="A367" t="s">
        <v>45</v>
      </c>
      <c r="B367">
        <v>60565</v>
      </c>
      <c r="C367" t="s">
        <v>28</v>
      </c>
      <c r="D367" t="s">
        <v>18</v>
      </c>
      <c r="E367" s="3">
        <v>44815</v>
      </c>
      <c r="F367" t="s">
        <v>46</v>
      </c>
      <c r="G367" s="2">
        <v>44968</v>
      </c>
      <c r="H367" t="s">
        <v>47</v>
      </c>
      <c r="I367" s="2">
        <v>45017</v>
      </c>
      <c r="J367">
        <v>636.96</v>
      </c>
      <c r="K367">
        <v>103.1</v>
      </c>
      <c r="L367" t="s">
        <v>20</v>
      </c>
      <c r="M367">
        <f t="shared" si="15"/>
        <v>0</v>
      </c>
      <c r="N367">
        <f t="shared" si="16"/>
        <v>636.96</v>
      </c>
      <c r="O367">
        <f t="shared" si="17"/>
        <v>-636.96</v>
      </c>
    </row>
    <row r="368" spans="1:15" x14ac:dyDescent="0.2">
      <c r="A368" t="s">
        <v>48</v>
      </c>
      <c r="B368">
        <v>60564</v>
      </c>
      <c r="C368" t="s">
        <v>28</v>
      </c>
      <c r="D368" t="s">
        <v>22</v>
      </c>
      <c r="E368" s="3">
        <v>44789</v>
      </c>
      <c r="F368" t="s">
        <v>46</v>
      </c>
      <c r="G368" s="2">
        <v>44984</v>
      </c>
      <c r="H368" t="s">
        <v>49</v>
      </c>
      <c r="I368" s="2">
        <v>45017</v>
      </c>
      <c r="J368">
        <v>792.16</v>
      </c>
      <c r="K368">
        <v>103.1</v>
      </c>
      <c r="L368" t="s">
        <v>20</v>
      </c>
      <c r="M368">
        <f t="shared" si="15"/>
        <v>0</v>
      </c>
      <c r="N368">
        <f t="shared" si="16"/>
        <v>792.16</v>
      </c>
      <c r="O368">
        <f t="shared" si="17"/>
        <v>-792.16</v>
      </c>
    </row>
    <row r="369" spans="1:15" x14ac:dyDescent="0.2">
      <c r="A369" t="s">
        <v>50</v>
      </c>
      <c r="B369">
        <v>60565</v>
      </c>
      <c r="C369" t="s">
        <v>28</v>
      </c>
      <c r="D369" t="s">
        <v>18</v>
      </c>
      <c r="E369" s="3">
        <v>44641</v>
      </c>
      <c r="F369" t="s">
        <v>33</v>
      </c>
      <c r="G369" s="2">
        <v>44804</v>
      </c>
      <c r="H369" t="s">
        <v>51</v>
      </c>
      <c r="I369" s="2">
        <v>45017</v>
      </c>
      <c r="J369">
        <v>521.94000000000005</v>
      </c>
      <c r="K369">
        <v>103.1</v>
      </c>
      <c r="L369" t="s">
        <v>20</v>
      </c>
      <c r="M369">
        <f t="shared" si="15"/>
        <v>0</v>
      </c>
      <c r="N369">
        <f t="shared" si="16"/>
        <v>521.94000000000005</v>
      </c>
      <c r="O369">
        <f t="shared" si="17"/>
        <v>-521.94000000000005</v>
      </c>
    </row>
    <row r="370" spans="1:15" x14ac:dyDescent="0.2">
      <c r="A370" t="s">
        <v>32</v>
      </c>
      <c r="B370">
        <v>60564</v>
      </c>
      <c r="C370" t="s">
        <v>28</v>
      </c>
      <c r="D370" t="s">
        <v>14</v>
      </c>
      <c r="E370" s="3">
        <v>44602</v>
      </c>
      <c r="F370" t="s">
        <v>33</v>
      </c>
      <c r="G370" s="2">
        <v>44976</v>
      </c>
      <c r="H370" t="s">
        <v>34</v>
      </c>
      <c r="I370" s="2">
        <v>45047</v>
      </c>
      <c r="J370">
        <v>555.92999999999995</v>
      </c>
      <c r="K370">
        <v>40.6</v>
      </c>
      <c r="L370" t="s">
        <v>16</v>
      </c>
      <c r="M370">
        <f t="shared" si="15"/>
        <v>0</v>
      </c>
      <c r="N370">
        <f t="shared" si="16"/>
        <v>555.92999999999995</v>
      </c>
      <c r="O370">
        <f t="shared" si="17"/>
        <v>-555.92999999999995</v>
      </c>
    </row>
    <row r="371" spans="1:15" x14ac:dyDescent="0.2">
      <c r="A371" t="s">
        <v>35</v>
      </c>
      <c r="B371">
        <v>60540</v>
      </c>
      <c r="C371" t="s">
        <v>28</v>
      </c>
      <c r="D371" t="s">
        <v>22</v>
      </c>
      <c r="E371" s="3">
        <v>44635</v>
      </c>
      <c r="F371" t="s">
        <v>36</v>
      </c>
      <c r="G371" s="2">
        <v>45023</v>
      </c>
      <c r="H371" t="s">
        <v>37</v>
      </c>
      <c r="I371" s="2">
        <v>45047</v>
      </c>
      <c r="J371">
        <v>610.28</v>
      </c>
      <c r="K371">
        <v>40.6</v>
      </c>
      <c r="L371" t="s">
        <v>16</v>
      </c>
      <c r="M371">
        <f t="shared" si="15"/>
        <v>0</v>
      </c>
      <c r="N371">
        <f t="shared" si="16"/>
        <v>610.28</v>
      </c>
      <c r="O371">
        <f t="shared" si="17"/>
        <v>-610.28</v>
      </c>
    </row>
    <row r="372" spans="1:15" x14ac:dyDescent="0.2">
      <c r="A372" t="s">
        <v>38</v>
      </c>
      <c r="B372">
        <v>60563</v>
      </c>
      <c r="C372" t="s">
        <v>28</v>
      </c>
      <c r="D372" t="s">
        <v>18</v>
      </c>
      <c r="E372" s="3">
        <v>44767</v>
      </c>
      <c r="F372" t="s">
        <v>39</v>
      </c>
      <c r="G372" s="2">
        <v>45037</v>
      </c>
      <c r="H372" t="s">
        <v>40</v>
      </c>
      <c r="I372" s="2">
        <v>45047</v>
      </c>
      <c r="J372">
        <v>890.59</v>
      </c>
      <c r="K372">
        <v>40.6</v>
      </c>
      <c r="L372" t="s">
        <v>16</v>
      </c>
      <c r="M372">
        <f t="shared" si="15"/>
        <v>0</v>
      </c>
      <c r="N372">
        <f t="shared" si="16"/>
        <v>890.59</v>
      </c>
      <c r="O372">
        <f t="shared" si="17"/>
        <v>-890.59</v>
      </c>
    </row>
    <row r="373" spans="1:15" x14ac:dyDescent="0.2">
      <c r="A373" t="s">
        <v>41</v>
      </c>
      <c r="B373">
        <v>60564</v>
      </c>
      <c r="C373" t="s">
        <v>28</v>
      </c>
      <c r="D373" t="s">
        <v>22</v>
      </c>
      <c r="E373" s="3">
        <v>44815</v>
      </c>
      <c r="F373" t="s">
        <v>36</v>
      </c>
      <c r="G373" s="2">
        <v>44928</v>
      </c>
      <c r="H373" t="s">
        <v>42</v>
      </c>
      <c r="I373" s="2">
        <v>45047</v>
      </c>
      <c r="J373">
        <v>649.67999999999995</v>
      </c>
      <c r="K373">
        <v>40.6</v>
      </c>
      <c r="L373" t="s">
        <v>16</v>
      </c>
      <c r="M373">
        <f t="shared" si="15"/>
        <v>0</v>
      </c>
      <c r="N373">
        <f t="shared" si="16"/>
        <v>649.67999999999995</v>
      </c>
      <c r="O373">
        <f t="shared" si="17"/>
        <v>-649.67999999999995</v>
      </c>
    </row>
    <row r="374" spans="1:15" x14ac:dyDescent="0.2">
      <c r="A374" t="s">
        <v>43</v>
      </c>
      <c r="B374">
        <v>60564</v>
      </c>
      <c r="C374" t="s">
        <v>28</v>
      </c>
      <c r="D374" t="s">
        <v>18</v>
      </c>
      <c r="E374" s="3">
        <v>44759</v>
      </c>
      <c r="F374" t="s">
        <v>33</v>
      </c>
      <c r="G374" s="2">
        <v>45025</v>
      </c>
      <c r="H374" t="s">
        <v>44</v>
      </c>
      <c r="I374" s="2">
        <v>45047</v>
      </c>
      <c r="J374">
        <v>776.43</v>
      </c>
      <c r="K374">
        <v>40.6</v>
      </c>
      <c r="L374" t="s">
        <v>16</v>
      </c>
      <c r="M374">
        <f t="shared" si="15"/>
        <v>0</v>
      </c>
      <c r="N374">
        <f t="shared" si="16"/>
        <v>776.43</v>
      </c>
      <c r="O374">
        <f t="shared" si="17"/>
        <v>-776.43</v>
      </c>
    </row>
    <row r="375" spans="1:15" x14ac:dyDescent="0.2">
      <c r="A375" t="s">
        <v>45</v>
      </c>
      <c r="B375">
        <v>60565</v>
      </c>
      <c r="C375" t="s">
        <v>28</v>
      </c>
      <c r="D375" t="s">
        <v>18</v>
      </c>
      <c r="E375" s="3">
        <v>44815</v>
      </c>
      <c r="F375" t="s">
        <v>46</v>
      </c>
      <c r="G375" s="2">
        <v>44968</v>
      </c>
      <c r="H375" t="s">
        <v>47</v>
      </c>
      <c r="I375" s="2">
        <v>45047</v>
      </c>
      <c r="J375">
        <v>608.48</v>
      </c>
      <c r="K375">
        <v>40.6</v>
      </c>
      <c r="L375" t="s">
        <v>16</v>
      </c>
      <c r="M375">
        <f t="shared" si="15"/>
        <v>0</v>
      </c>
      <c r="N375">
        <f t="shared" si="16"/>
        <v>608.48</v>
      </c>
      <c r="O375">
        <f t="shared" si="17"/>
        <v>-608.48</v>
      </c>
    </row>
    <row r="376" spans="1:15" x14ac:dyDescent="0.2">
      <c r="A376" t="s">
        <v>48</v>
      </c>
      <c r="B376">
        <v>60564</v>
      </c>
      <c r="C376" t="s">
        <v>28</v>
      </c>
      <c r="D376" t="s">
        <v>22</v>
      </c>
      <c r="E376" s="3">
        <v>44789</v>
      </c>
      <c r="F376" t="s">
        <v>46</v>
      </c>
      <c r="G376" s="2">
        <v>44984</v>
      </c>
      <c r="H376" t="s">
        <v>49</v>
      </c>
      <c r="I376" s="2">
        <v>45047</v>
      </c>
      <c r="J376">
        <v>706.36</v>
      </c>
      <c r="K376">
        <v>40.6</v>
      </c>
      <c r="L376" t="s">
        <v>16</v>
      </c>
      <c r="M376">
        <f t="shared" si="15"/>
        <v>0</v>
      </c>
      <c r="N376">
        <f t="shared" si="16"/>
        <v>706.36</v>
      </c>
      <c r="O376">
        <f t="shared" si="17"/>
        <v>-706.36</v>
      </c>
    </row>
    <row r="377" spans="1:15" x14ac:dyDescent="0.2">
      <c r="A377" t="s">
        <v>50</v>
      </c>
      <c r="B377">
        <v>60565</v>
      </c>
      <c r="C377" t="s">
        <v>28</v>
      </c>
      <c r="D377" t="s">
        <v>18</v>
      </c>
      <c r="E377" s="3">
        <v>44641</v>
      </c>
      <c r="F377" t="s">
        <v>33</v>
      </c>
      <c r="G377" s="2">
        <v>44804</v>
      </c>
      <c r="H377" t="s">
        <v>51</v>
      </c>
      <c r="I377" s="2">
        <v>45047</v>
      </c>
      <c r="J377">
        <v>776.8</v>
      </c>
      <c r="K377">
        <v>40.6</v>
      </c>
      <c r="L377" t="s">
        <v>16</v>
      </c>
      <c r="M377">
        <f t="shared" si="15"/>
        <v>0</v>
      </c>
      <c r="N377">
        <f t="shared" si="16"/>
        <v>776.8</v>
      </c>
      <c r="O377">
        <f t="shared" si="17"/>
        <v>-776.8</v>
      </c>
    </row>
    <row r="378" spans="1:15" x14ac:dyDescent="0.2">
      <c r="A378" t="s">
        <v>32</v>
      </c>
      <c r="B378">
        <v>60564</v>
      </c>
      <c r="C378" t="s">
        <v>28</v>
      </c>
      <c r="D378" t="s">
        <v>14</v>
      </c>
      <c r="E378" s="3">
        <v>44602</v>
      </c>
      <c r="F378" t="s">
        <v>33</v>
      </c>
      <c r="G378" s="2">
        <v>44976</v>
      </c>
      <c r="H378" t="s">
        <v>34</v>
      </c>
      <c r="I378" s="2">
        <v>45078</v>
      </c>
      <c r="J378">
        <v>726.93</v>
      </c>
      <c r="K378">
        <v>76</v>
      </c>
      <c r="L378" t="s">
        <v>20</v>
      </c>
      <c r="M378">
        <f t="shared" si="15"/>
        <v>0</v>
      </c>
      <c r="N378">
        <f t="shared" si="16"/>
        <v>726.93</v>
      </c>
      <c r="O378">
        <f t="shared" si="17"/>
        <v>-726.93</v>
      </c>
    </row>
    <row r="379" spans="1:15" x14ac:dyDescent="0.2">
      <c r="A379" t="s">
        <v>35</v>
      </c>
      <c r="B379">
        <v>60540</v>
      </c>
      <c r="C379" t="s">
        <v>28</v>
      </c>
      <c r="D379" t="s">
        <v>22</v>
      </c>
      <c r="E379" s="3">
        <v>44635</v>
      </c>
      <c r="F379" t="s">
        <v>36</v>
      </c>
      <c r="G379" s="2">
        <v>45023</v>
      </c>
      <c r="H379" t="s">
        <v>37</v>
      </c>
      <c r="I379" s="2">
        <v>45078</v>
      </c>
      <c r="J379">
        <v>852.58</v>
      </c>
      <c r="K379">
        <v>76</v>
      </c>
      <c r="L379" t="s">
        <v>20</v>
      </c>
      <c r="M379">
        <f t="shared" si="15"/>
        <v>0</v>
      </c>
      <c r="N379">
        <f t="shared" si="16"/>
        <v>852.58</v>
      </c>
      <c r="O379">
        <f t="shared" si="17"/>
        <v>-852.58</v>
      </c>
    </row>
    <row r="380" spans="1:15" x14ac:dyDescent="0.2">
      <c r="A380" t="s">
        <v>38</v>
      </c>
      <c r="B380">
        <v>60563</v>
      </c>
      <c r="C380" t="s">
        <v>28</v>
      </c>
      <c r="D380" t="s">
        <v>18</v>
      </c>
      <c r="E380" s="3">
        <v>44767</v>
      </c>
      <c r="F380" t="s">
        <v>39</v>
      </c>
      <c r="G380" s="2">
        <v>45037</v>
      </c>
      <c r="H380" t="s">
        <v>40</v>
      </c>
      <c r="I380" s="2">
        <v>45078</v>
      </c>
      <c r="J380">
        <v>722.76</v>
      </c>
      <c r="K380">
        <v>76</v>
      </c>
      <c r="L380" t="s">
        <v>20</v>
      </c>
      <c r="M380">
        <f t="shared" si="15"/>
        <v>0</v>
      </c>
      <c r="N380">
        <f t="shared" si="16"/>
        <v>722.76</v>
      </c>
      <c r="O380">
        <f t="shared" si="17"/>
        <v>-722.76</v>
      </c>
    </row>
    <row r="381" spans="1:15" x14ac:dyDescent="0.2">
      <c r="A381" t="s">
        <v>41</v>
      </c>
      <c r="B381">
        <v>60564</v>
      </c>
      <c r="C381" t="s">
        <v>28</v>
      </c>
      <c r="D381" t="s">
        <v>22</v>
      </c>
      <c r="E381" s="3">
        <v>44815</v>
      </c>
      <c r="F381" t="s">
        <v>36</v>
      </c>
      <c r="G381" s="2">
        <v>44928</v>
      </c>
      <c r="H381" t="s">
        <v>42</v>
      </c>
      <c r="I381" s="2">
        <v>45078</v>
      </c>
      <c r="J381">
        <v>804.53</v>
      </c>
      <c r="K381">
        <v>76</v>
      </c>
      <c r="L381" t="s">
        <v>20</v>
      </c>
      <c r="M381">
        <f t="shared" si="15"/>
        <v>0</v>
      </c>
      <c r="N381">
        <f t="shared" si="16"/>
        <v>804.53</v>
      </c>
      <c r="O381">
        <f t="shared" si="17"/>
        <v>-804.53</v>
      </c>
    </row>
    <row r="382" spans="1:15" x14ac:dyDescent="0.2">
      <c r="A382" t="s">
        <v>43</v>
      </c>
      <c r="B382">
        <v>60564</v>
      </c>
      <c r="C382" t="s">
        <v>28</v>
      </c>
      <c r="D382" t="s">
        <v>18</v>
      </c>
      <c r="E382" s="3">
        <v>44759</v>
      </c>
      <c r="F382" t="s">
        <v>33</v>
      </c>
      <c r="G382" s="2">
        <v>45025</v>
      </c>
      <c r="H382" t="s">
        <v>44</v>
      </c>
      <c r="I382" s="2">
        <v>45078</v>
      </c>
      <c r="J382">
        <v>701.08</v>
      </c>
      <c r="K382">
        <v>76</v>
      </c>
      <c r="L382" t="s">
        <v>20</v>
      </c>
      <c r="M382">
        <f t="shared" si="15"/>
        <v>0</v>
      </c>
      <c r="N382">
        <f t="shared" si="16"/>
        <v>701.08</v>
      </c>
      <c r="O382">
        <f t="shared" si="17"/>
        <v>-701.08</v>
      </c>
    </row>
    <row r="383" spans="1:15" x14ac:dyDescent="0.2">
      <c r="A383" t="s">
        <v>45</v>
      </c>
      <c r="B383">
        <v>60565</v>
      </c>
      <c r="C383" t="s">
        <v>28</v>
      </c>
      <c r="D383" t="s">
        <v>18</v>
      </c>
      <c r="E383" s="3">
        <v>44815</v>
      </c>
      <c r="F383" t="s">
        <v>46</v>
      </c>
      <c r="G383" s="2">
        <v>44968</v>
      </c>
      <c r="H383" t="s">
        <v>47</v>
      </c>
      <c r="I383" s="2">
        <v>45078</v>
      </c>
      <c r="J383">
        <v>724.61</v>
      </c>
      <c r="K383">
        <v>76</v>
      </c>
      <c r="L383" t="s">
        <v>20</v>
      </c>
      <c r="M383">
        <f t="shared" si="15"/>
        <v>0</v>
      </c>
      <c r="N383">
        <f t="shared" si="16"/>
        <v>724.61</v>
      </c>
      <c r="O383">
        <f t="shared" si="17"/>
        <v>-724.61</v>
      </c>
    </row>
    <row r="384" spans="1:15" x14ac:dyDescent="0.2">
      <c r="A384" t="s">
        <v>48</v>
      </c>
      <c r="B384">
        <v>60564</v>
      </c>
      <c r="C384" t="s">
        <v>28</v>
      </c>
      <c r="D384" t="s">
        <v>22</v>
      </c>
      <c r="E384" s="3">
        <v>44789</v>
      </c>
      <c r="F384" t="s">
        <v>46</v>
      </c>
      <c r="G384" s="2">
        <v>44984</v>
      </c>
      <c r="H384" t="s">
        <v>49</v>
      </c>
      <c r="I384" s="2">
        <v>45078</v>
      </c>
      <c r="J384">
        <v>795.15</v>
      </c>
      <c r="K384">
        <v>76</v>
      </c>
      <c r="L384" t="s">
        <v>20</v>
      </c>
      <c r="M384">
        <f t="shared" si="15"/>
        <v>0</v>
      </c>
      <c r="N384">
        <f t="shared" si="16"/>
        <v>795.15</v>
      </c>
      <c r="O384">
        <f t="shared" si="17"/>
        <v>-795.15</v>
      </c>
    </row>
    <row r="385" spans="1:15" x14ac:dyDescent="0.2">
      <c r="A385" t="s">
        <v>50</v>
      </c>
      <c r="B385">
        <v>60565</v>
      </c>
      <c r="C385" t="s">
        <v>28</v>
      </c>
      <c r="D385" t="s">
        <v>18</v>
      </c>
      <c r="E385" s="3">
        <v>44641</v>
      </c>
      <c r="F385" t="s">
        <v>33</v>
      </c>
      <c r="G385" s="2">
        <v>44804</v>
      </c>
      <c r="H385" t="s">
        <v>51</v>
      </c>
      <c r="I385" s="2">
        <v>45078</v>
      </c>
      <c r="J385">
        <v>860.12</v>
      </c>
      <c r="K385">
        <v>76</v>
      </c>
      <c r="L385" t="s">
        <v>20</v>
      </c>
      <c r="M385">
        <f t="shared" si="15"/>
        <v>0</v>
      </c>
      <c r="N385">
        <f t="shared" si="16"/>
        <v>860.12</v>
      </c>
      <c r="O385">
        <f t="shared" si="17"/>
        <v>-860.12</v>
      </c>
    </row>
    <row r="386" spans="1:15" x14ac:dyDescent="0.2">
      <c r="A386" t="s">
        <v>32</v>
      </c>
      <c r="B386">
        <v>60564</v>
      </c>
      <c r="C386" t="s">
        <v>28</v>
      </c>
      <c r="D386" t="s">
        <v>14</v>
      </c>
      <c r="E386" s="3">
        <v>44602</v>
      </c>
      <c r="F386" t="s">
        <v>33</v>
      </c>
      <c r="G386" s="2">
        <v>44976</v>
      </c>
      <c r="H386" t="s">
        <v>34</v>
      </c>
      <c r="I386" s="2">
        <v>45108</v>
      </c>
      <c r="J386">
        <v>881.37</v>
      </c>
      <c r="K386">
        <v>38.9</v>
      </c>
      <c r="L386" t="s">
        <v>19</v>
      </c>
      <c r="M386">
        <f t="shared" ref="M386:M449" si="18">SUMIFS(J386,I386, "&lt;" &amp;G386,I386,"&lt;&gt;",G386,"&lt;&gt;")</f>
        <v>0</v>
      </c>
      <c r="N386">
        <f t="shared" ref="N386:N449" si="19">SUMIFS(J386,I386, "&gt;=" &amp;G386,I386,"&lt;&gt;",G386,"&lt;&gt;")</f>
        <v>881.37</v>
      </c>
      <c r="O386">
        <f t="shared" ref="O386:O449" si="20">SUM(M386-N386)</f>
        <v>-881.37</v>
      </c>
    </row>
    <row r="387" spans="1:15" x14ac:dyDescent="0.2">
      <c r="A387" t="s">
        <v>35</v>
      </c>
      <c r="B387">
        <v>60540</v>
      </c>
      <c r="C387" t="s">
        <v>28</v>
      </c>
      <c r="D387" t="s">
        <v>22</v>
      </c>
      <c r="E387" s="3">
        <v>44635</v>
      </c>
      <c r="F387" t="s">
        <v>36</v>
      </c>
      <c r="G387" s="2">
        <v>45023</v>
      </c>
      <c r="H387" t="s">
        <v>37</v>
      </c>
      <c r="I387" s="2">
        <v>45108</v>
      </c>
      <c r="J387">
        <v>736.69</v>
      </c>
      <c r="K387">
        <v>38.9</v>
      </c>
      <c r="L387" t="s">
        <v>19</v>
      </c>
      <c r="M387">
        <f t="shared" si="18"/>
        <v>0</v>
      </c>
      <c r="N387">
        <f t="shared" si="19"/>
        <v>736.69</v>
      </c>
      <c r="O387">
        <f t="shared" si="20"/>
        <v>-736.69</v>
      </c>
    </row>
    <row r="388" spans="1:15" x14ac:dyDescent="0.2">
      <c r="A388" t="s">
        <v>38</v>
      </c>
      <c r="B388">
        <v>60563</v>
      </c>
      <c r="C388" t="s">
        <v>28</v>
      </c>
      <c r="D388" t="s">
        <v>18</v>
      </c>
      <c r="E388" s="3">
        <v>44767</v>
      </c>
      <c r="F388" t="s">
        <v>39</v>
      </c>
      <c r="G388" s="2">
        <v>45037</v>
      </c>
      <c r="H388" t="s">
        <v>40</v>
      </c>
      <c r="I388" s="2">
        <v>45108</v>
      </c>
      <c r="J388">
        <v>680.53</v>
      </c>
      <c r="K388">
        <v>38.9</v>
      </c>
      <c r="L388" t="s">
        <v>19</v>
      </c>
      <c r="M388">
        <f t="shared" si="18"/>
        <v>0</v>
      </c>
      <c r="N388">
        <f t="shared" si="19"/>
        <v>680.53</v>
      </c>
      <c r="O388">
        <f t="shared" si="20"/>
        <v>-680.53</v>
      </c>
    </row>
    <row r="389" spans="1:15" x14ac:dyDescent="0.2">
      <c r="A389" t="s">
        <v>41</v>
      </c>
      <c r="B389">
        <v>60564</v>
      </c>
      <c r="C389" t="s">
        <v>28</v>
      </c>
      <c r="D389" t="s">
        <v>22</v>
      </c>
      <c r="E389" s="3">
        <v>44815</v>
      </c>
      <c r="F389" t="s">
        <v>36</v>
      </c>
      <c r="G389" s="2">
        <v>44928</v>
      </c>
      <c r="H389" t="s">
        <v>42</v>
      </c>
      <c r="I389" s="2">
        <v>45108</v>
      </c>
      <c r="J389">
        <v>676.41</v>
      </c>
      <c r="K389">
        <v>38.9</v>
      </c>
      <c r="L389" t="s">
        <v>19</v>
      </c>
      <c r="M389">
        <f t="shared" si="18"/>
        <v>0</v>
      </c>
      <c r="N389">
        <f t="shared" si="19"/>
        <v>676.41</v>
      </c>
      <c r="O389">
        <f t="shared" si="20"/>
        <v>-676.41</v>
      </c>
    </row>
    <row r="390" spans="1:15" x14ac:dyDescent="0.2">
      <c r="A390" t="s">
        <v>43</v>
      </c>
      <c r="B390">
        <v>60564</v>
      </c>
      <c r="C390" t="s">
        <v>28</v>
      </c>
      <c r="D390" t="s">
        <v>18</v>
      </c>
      <c r="E390" s="3">
        <v>44759</v>
      </c>
      <c r="F390" t="s">
        <v>33</v>
      </c>
      <c r="G390" s="2">
        <v>45025</v>
      </c>
      <c r="H390" t="s">
        <v>44</v>
      </c>
      <c r="I390" s="2">
        <v>45108</v>
      </c>
      <c r="J390">
        <v>788.19</v>
      </c>
      <c r="K390">
        <v>38.9</v>
      </c>
      <c r="L390" t="s">
        <v>19</v>
      </c>
      <c r="M390">
        <f t="shared" si="18"/>
        <v>0</v>
      </c>
      <c r="N390">
        <f t="shared" si="19"/>
        <v>788.19</v>
      </c>
      <c r="O390">
        <f t="shared" si="20"/>
        <v>-788.19</v>
      </c>
    </row>
    <row r="391" spans="1:15" x14ac:dyDescent="0.2">
      <c r="A391" t="s">
        <v>45</v>
      </c>
      <c r="B391">
        <v>60565</v>
      </c>
      <c r="C391" t="s">
        <v>28</v>
      </c>
      <c r="D391" t="s">
        <v>18</v>
      </c>
      <c r="E391" s="3">
        <v>44815</v>
      </c>
      <c r="F391" t="s">
        <v>46</v>
      </c>
      <c r="G391" s="2">
        <v>44968</v>
      </c>
      <c r="H391" t="s">
        <v>47</v>
      </c>
      <c r="I391" s="2">
        <v>45108</v>
      </c>
      <c r="J391">
        <v>805.18</v>
      </c>
      <c r="K391">
        <v>38.9</v>
      </c>
      <c r="L391" t="s">
        <v>19</v>
      </c>
      <c r="M391">
        <f t="shared" si="18"/>
        <v>0</v>
      </c>
      <c r="N391">
        <f t="shared" si="19"/>
        <v>805.18</v>
      </c>
      <c r="O391">
        <f t="shared" si="20"/>
        <v>-805.18</v>
      </c>
    </row>
    <row r="392" spans="1:15" x14ac:dyDescent="0.2">
      <c r="A392" t="s">
        <v>48</v>
      </c>
      <c r="B392">
        <v>60564</v>
      </c>
      <c r="C392" t="s">
        <v>28</v>
      </c>
      <c r="D392" t="s">
        <v>22</v>
      </c>
      <c r="E392" s="3">
        <v>44789</v>
      </c>
      <c r="F392" t="s">
        <v>46</v>
      </c>
      <c r="G392" s="2">
        <v>44984</v>
      </c>
      <c r="H392" t="s">
        <v>49</v>
      </c>
      <c r="I392" s="2">
        <v>45108</v>
      </c>
      <c r="J392">
        <v>822.22</v>
      </c>
      <c r="K392">
        <v>38.9</v>
      </c>
      <c r="L392" t="s">
        <v>19</v>
      </c>
      <c r="M392">
        <f t="shared" si="18"/>
        <v>0</v>
      </c>
      <c r="N392">
        <f t="shared" si="19"/>
        <v>822.22</v>
      </c>
      <c r="O392">
        <f t="shared" si="20"/>
        <v>-822.22</v>
      </c>
    </row>
    <row r="393" spans="1:15" x14ac:dyDescent="0.2">
      <c r="A393" t="s">
        <v>50</v>
      </c>
      <c r="B393">
        <v>60565</v>
      </c>
      <c r="C393" t="s">
        <v>28</v>
      </c>
      <c r="D393" t="s">
        <v>18</v>
      </c>
      <c r="E393" s="3">
        <v>44641</v>
      </c>
      <c r="F393" t="s">
        <v>33</v>
      </c>
      <c r="G393" s="2">
        <v>44804</v>
      </c>
      <c r="H393" t="s">
        <v>51</v>
      </c>
      <c r="I393" s="2">
        <v>45108</v>
      </c>
      <c r="J393">
        <v>620.29999999999995</v>
      </c>
      <c r="K393">
        <v>38.9</v>
      </c>
      <c r="L393" t="s">
        <v>19</v>
      </c>
      <c r="M393">
        <f t="shared" si="18"/>
        <v>0</v>
      </c>
      <c r="N393">
        <f t="shared" si="19"/>
        <v>620.29999999999995</v>
      </c>
      <c r="O393">
        <f t="shared" si="20"/>
        <v>-620.29999999999995</v>
      </c>
    </row>
    <row r="394" spans="1:15" x14ac:dyDescent="0.2">
      <c r="A394" t="s">
        <v>32</v>
      </c>
      <c r="B394">
        <v>60564</v>
      </c>
      <c r="C394" t="s">
        <v>28</v>
      </c>
      <c r="D394" t="s">
        <v>14</v>
      </c>
      <c r="E394" s="3">
        <v>44602</v>
      </c>
      <c r="F394" t="s">
        <v>33</v>
      </c>
      <c r="G394" s="2">
        <v>44976</v>
      </c>
      <c r="H394" t="s">
        <v>34</v>
      </c>
      <c r="I394" s="2">
        <v>45139</v>
      </c>
      <c r="J394">
        <v>740.46</v>
      </c>
      <c r="K394">
        <v>80</v>
      </c>
      <c r="L394" t="s">
        <v>20</v>
      </c>
      <c r="M394">
        <f t="shared" si="18"/>
        <v>0</v>
      </c>
      <c r="N394">
        <f t="shared" si="19"/>
        <v>740.46</v>
      </c>
      <c r="O394">
        <f t="shared" si="20"/>
        <v>-740.46</v>
      </c>
    </row>
    <row r="395" spans="1:15" x14ac:dyDescent="0.2">
      <c r="A395" t="s">
        <v>35</v>
      </c>
      <c r="B395">
        <v>60540</v>
      </c>
      <c r="C395" t="s">
        <v>28</v>
      </c>
      <c r="D395" t="s">
        <v>22</v>
      </c>
      <c r="E395" s="3">
        <v>44635</v>
      </c>
      <c r="F395" t="s">
        <v>36</v>
      </c>
      <c r="G395" s="2">
        <v>45023</v>
      </c>
      <c r="H395" t="s">
        <v>37</v>
      </c>
      <c r="I395" s="2">
        <v>45139</v>
      </c>
      <c r="J395">
        <v>720.95</v>
      </c>
      <c r="K395">
        <v>80</v>
      </c>
      <c r="L395" t="s">
        <v>20</v>
      </c>
      <c r="M395">
        <f t="shared" si="18"/>
        <v>0</v>
      </c>
      <c r="N395">
        <f t="shared" si="19"/>
        <v>720.95</v>
      </c>
      <c r="O395">
        <f t="shared" si="20"/>
        <v>-720.95</v>
      </c>
    </row>
    <row r="396" spans="1:15" x14ac:dyDescent="0.2">
      <c r="A396" t="s">
        <v>38</v>
      </c>
      <c r="B396">
        <v>60563</v>
      </c>
      <c r="C396" t="s">
        <v>28</v>
      </c>
      <c r="D396" t="s">
        <v>18</v>
      </c>
      <c r="E396" s="3">
        <v>44767</v>
      </c>
      <c r="F396" t="s">
        <v>39</v>
      </c>
      <c r="G396" s="2">
        <v>45037</v>
      </c>
      <c r="H396" t="s">
        <v>40</v>
      </c>
      <c r="I396" s="2">
        <v>45139</v>
      </c>
      <c r="J396">
        <v>841.97</v>
      </c>
      <c r="K396">
        <v>80</v>
      </c>
      <c r="L396" t="s">
        <v>20</v>
      </c>
      <c r="M396">
        <f t="shared" si="18"/>
        <v>0</v>
      </c>
      <c r="N396">
        <f t="shared" si="19"/>
        <v>841.97</v>
      </c>
      <c r="O396">
        <f t="shared" si="20"/>
        <v>-841.97</v>
      </c>
    </row>
    <row r="397" spans="1:15" x14ac:dyDescent="0.2">
      <c r="A397" t="s">
        <v>41</v>
      </c>
      <c r="B397">
        <v>60564</v>
      </c>
      <c r="C397" t="s">
        <v>28</v>
      </c>
      <c r="D397" t="s">
        <v>22</v>
      </c>
      <c r="E397" s="3">
        <v>44815</v>
      </c>
      <c r="F397" t="s">
        <v>36</v>
      </c>
      <c r="G397" s="2">
        <v>44928</v>
      </c>
      <c r="H397" t="s">
        <v>42</v>
      </c>
      <c r="I397" s="2">
        <v>45139</v>
      </c>
      <c r="J397">
        <v>692.32</v>
      </c>
      <c r="K397">
        <v>80</v>
      </c>
      <c r="L397" t="s">
        <v>20</v>
      </c>
      <c r="M397">
        <f t="shared" si="18"/>
        <v>0</v>
      </c>
      <c r="N397">
        <f t="shared" si="19"/>
        <v>692.32</v>
      </c>
      <c r="O397">
        <f t="shared" si="20"/>
        <v>-692.32</v>
      </c>
    </row>
    <row r="398" spans="1:15" x14ac:dyDescent="0.2">
      <c r="A398" t="s">
        <v>43</v>
      </c>
      <c r="B398">
        <v>60564</v>
      </c>
      <c r="C398" t="s">
        <v>28</v>
      </c>
      <c r="D398" t="s">
        <v>18</v>
      </c>
      <c r="E398" s="3">
        <v>44759</v>
      </c>
      <c r="F398" t="s">
        <v>33</v>
      </c>
      <c r="G398" s="2">
        <v>45025</v>
      </c>
      <c r="H398" t="s">
        <v>44</v>
      </c>
      <c r="I398" s="2">
        <v>45139</v>
      </c>
      <c r="J398">
        <v>531.51</v>
      </c>
      <c r="K398">
        <v>80</v>
      </c>
      <c r="L398" t="s">
        <v>20</v>
      </c>
      <c r="M398">
        <f t="shared" si="18"/>
        <v>0</v>
      </c>
      <c r="N398">
        <f t="shared" si="19"/>
        <v>531.51</v>
      </c>
      <c r="O398">
        <f t="shared" si="20"/>
        <v>-531.51</v>
      </c>
    </row>
    <row r="399" spans="1:15" x14ac:dyDescent="0.2">
      <c r="A399" t="s">
        <v>45</v>
      </c>
      <c r="B399">
        <v>60565</v>
      </c>
      <c r="C399" t="s">
        <v>28</v>
      </c>
      <c r="D399" t="s">
        <v>18</v>
      </c>
      <c r="E399" s="3">
        <v>44815</v>
      </c>
      <c r="F399" t="s">
        <v>46</v>
      </c>
      <c r="G399" s="2">
        <v>44968</v>
      </c>
      <c r="H399" t="s">
        <v>47</v>
      </c>
      <c r="I399" s="2">
        <v>45139</v>
      </c>
      <c r="J399">
        <v>675.26</v>
      </c>
      <c r="K399">
        <v>80</v>
      </c>
      <c r="L399" t="s">
        <v>20</v>
      </c>
      <c r="M399">
        <f t="shared" si="18"/>
        <v>0</v>
      </c>
      <c r="N399">
        <f t="shared" si="19"/>
        <v>675.26</v>
      </c>
      <c r="O399">
        <f t="shared" si="20"/>
        <v>-675.26</v>
      </c>
    </row>
    <row r="400" spans="1:15" x14ac:dyDescent="0.2">
      <c r="A400" t="s">
        <v>48</v>
      </c>
      <c r="B400">
        <v>60564</v>
      </c>
      <c r="C400" t="s">
        <v>28</v>
      </c>
      <c r="D400" t="s">
        <v>22</v>
      </c>
      <c r="E400" s="3">
        <v>44789</v>
      </c>
      <c r="F400" t="s">
        <v>46</v>
      </c>
      <c r="G400" s="2">
        <v>44984</v>
      </c>
      <c r="H400" t="s">
        <v>49</v>
      </c>
      <c r="I400" s="2">
        <v>45139</v>
      </c>
      <c r="J400">
        <v>482.57</v>
      </c>
      <c r="K400">
        <v>80</v>
      </c>
      <c r="L400" t="s">
        <v>20</v>
      </c>
      <c r="M400">
        <f t="shared" si="18"/>
        <v>0</v>
      </c>
      <c r="N400">
        <f t="shared" si="19"/>
        <v>482.57</v>
      </c>
      <c r="O400">
        <f t="shared" si="20"/>
        <v>-482.57</v>
      </c>
    </row>
    <row r="401" spans="1:15" x14ac:dyDescent="0.2">
      <c r="A401" t="s">
        <v>50</v>
      </c>
      <c r="B401">
        <v>60565</v>
      </c>
      <c r="C401" t="s">
        <v>28</v>
      </c>
      <c r="D401" t="s">
        <v>18</v>
      </c>
      <c r="E401" s="3">
        <v>44641</v>
      </c>
      <c r="F401" t="s">
        <v>33</v>
      </c>
      <c r="G401" s="2">
        <v>44804</v>
      </c>
      <c r="H401" t="s">
        <v>51</v>
      </c>
      <c r="I401" s="2">
        <v>45139</v>
      </c>
      <c r="J401">
        <v>692.42</v>
      </c>
      <c r="K401">
        <v>80</v>
      </c>
      <c r="L401" t="s">
        <v>20</v>
      </c>
      <c r="M401">
        <f t="shared" si="18"/>
        <v>0</v>
      </c>
      <c r="N401">
        <f t="shared" si="19"/>
        <v>692.42</v>
      </c>
      <c r="O401">
        <f t="shared" si="20"/>
        <v>-692.42</v>
      </c>
    </row>
    <row r="402" spans="1:15" x14ac:dyDescent="0.2">
      <c r="A402" t="s">
        <v>32</v>
      </c>
      <c r="B402">
        <v>60564</v>
      </c>
      <c r="C402" t="s">
        <v>28</v>
      </c>
      <c r="D402" t="s">
        <v>14</v>
      </c>
      <c r="E402" s="3">
        <v>44602</v>
      </c>
      <c r="F402" t="s">
        <v>33</v>
      </c>
      <c r="G402" s="2">
        <v>44976</v>
      </c>
      <c r="H402" t="s">
        <v>34</v>
      </c>
      <c r="I402" s="2">
        <v>45170</v>
      </c>
      <c r="J402">
        <v>709.01</v>
      </c>
      <c r="K402">
        <v>84.9</v>
      </c>
      <c r="L402" t="s">
        <v>20</v>
      </c>
      <c r="M402">
        <f t="shared" si="18"/>
        <v>0</v>
      </c>
      <c r="N402">
        <f t="shared" si="19"/>
        <v>709.01</v>
      </c>
      <c r="O402">
        <f t="shared" si="20"/>
        <v>-709.01</v>
      </c>
    </row>
    <row r="403" spans="1:15" x14ac:dyDescent="0.2">
      <c r="A403" t="s">
        <v>35</v>
      </c>
      <c r="B403">
        <v>60540</v>
      </c>
      <c r="C403" t="s">
        <v>28</v>
      </c>
      <c r="D403" t="s">
        <v>22</v>
      </c>
      <c r="E403" s="3">
        <v>44635</v>
      </c>
      <c r="F403" t="s">
        <v>36</v>
      </c>
      <c r="G403" s="2">
        <v>45023</v>
      </c>
      <c r="H403" t="s">
        <v>37</v>
      </c>
      <c r="I403" s="2">
        <v>45170</v>
      </c>
      <c r="J403">
        <v>612.44000000000005</v>
      </c>
      <c r="K403">
        <v>84.9</v>
      </c>
      <c r="L403" t="s">
        <v>20</v>
      </c>
      <c r="M403">
        <f t="shared" si="18"/>
        <v>0</v>
      </c>
      <c r="N403">
        <f t="shared" si="19"/>
        <v>612.44000000000005</v>
      </c>
      <c r="O403">
        <f t="shared" si="20"/>
        <v>-612.44000000000005</v>
      </c>
    </row>
    <row r="404" spans="1:15" x14ac:dyDescent="0.2">
      <c r="A404" t="s">
        <v>38</v>
      </c>
      <c r="B404">
        <v>60563</v>
      </c>
      <c r="C404" t="s">
        <v>28</v>
      </c>
      <c r="D404" t="s">
        <v>18</v>
      </c>
      <c r="E404" s="3">
        <v>44767</v>
      </c>
      <c r="F404" t="s">
        <v>39</v>
      </c>
      <c r="G404" s="2">
        <v>45037</v>
      </c>
      <c r="H404" t="s">
        <v>40</v>
      </c>
      <c r="I404" s="2">
        <v>45170</v>
      </c>
      <c r="J404">
        <v>746.07</v>
      </c>
      <c r="K404">
        <v>84.9</v>
      </c>
      <c r="L404" t="s">
        <v>20</v>
      </c>
      <c r="M404">
        <f t="shared" si="18"/>
        <v>0</v>
      </c>
      <c r="N404">
        <f t="shared" si="19"/>
        <v>746.07</v>
      </c>
      <c r="O404">
        <f t="shared" si="20"/>
        <v>-746.07</v>
      </c>
    </row>
    <row r="405" spans="1:15" x14ac:dyDescent="0.2">
      <c r="A405" t="s">
        <v>41</v>
      </c>
      <c r="B405">
        <v>60564</v>
      </c>
      <c r="C405" t="s">
        <v>28</v>
      </c>
      <c r="D405" t="s">
        <v>22</v>
      </c>
      <c r="E405" s="3">
        <v>44815</v>
      </c>
      <c r="F405" t="s">
        <v>36</v>
      </c>
      <c r="G405" s="2">
        <v>44928</v>
      </c>
      <c r="H405" t="s">
        <v>42</v>
      </c>
      <c r="I405" s="2">
        <v>45170</v>
      </c>
      <c r="J405">
        <v>868.29</v>
      </c>
      <c r="K405">
        <v>84.9</v>
      </c>
      <c r="L405" t="s">
        <v>20</v>
      </c>
      <c r="M405">
        <f t="shared" si="18"/>
        <v>0</v>
      </c>
      <c r="N405">
        <f t="shared" si="19"/>
        <v>868.29</v>
      </c>
      <c r="O405">
        <f t="shared" si="20"/>
        <v>-868.29</v>
      </c>
    </row>
    <row r="406" spans="1:15" x14ac:dyDescent="0.2">
      <c r="A406" t="s">
        <v>43</v>
      </c>
      <c r="B406">
        <v>60564</v>
      </c>
      <c r="C406" t="s">
        <v>28</v>
      </c>
      <c r="D406" t="s">
        <v>18</v>
      </c>
      <c r="E406" s="3">
        <v>44759</v>
      </c>
      <c r="F406" t="s">
        <v>33</v>
      </c>
      <c r="G406" s="2">
        <v>45025</v>
      </c>
      <c r="H406" t="s">
        <v>44</v>
      </c>
      <c r="I406" s="2">
        <v>45170</v>
      </c>
      <c r="J406">
        <v>625.20000000000005</v>
      </c>
      <c r="K406">
        <v>84.9</v>
      </c>
      <c r="L406" t="s">
        <v>20</v>
      </c>
      <c r="M406">
        <f t="shared" si="18"/>
        <v>0</v>
      </c>
      <c r="N406">
        <f t="shared" si="19"/>
        <v>625.20000000000005</v>
      </c>
      <c r="O406">
        <f t="shared" si="20"/>
        <v>-625.20000000000005</v>
      </c>
    </row>
    <row r="407" spans="1:15" x14ac:dyDescent="0.2">
      <c r="A407" t="s">
        <v>45</v>
      </c>
      <c r="B407">
        <v>60565</v>
      </c>
      <c r="C407" t="s">
        <v>28</v>
      </c>
      <c r="D407" t="s">
        <v>18</v>
      </c>
      <c r="E407" s="3">
        <v>44815</v>
      </c>
      <c r="F407" t="s">
        <v>46</v>
      </c>
      <c r="G407" s="2">
        <v>44968</v>
      </c>
      <c r="H407" t="s">
        <v>47</v>
      </c>
      <c r="I407" s="2">
        <v>45170</v>
      </c>
      <c r="J407">
        <v>693.45</v>
      </c>
      <c r="K407">
        <v>84.9</v>
      </c>
      <c r="L407" t="s">
        <v>20</v>
      </c>
      <c r="M407">
        <f t="shared" si="18"/>
        <v>0</v>
      </c>
      <c r="N407">
        <f t="shared" si="19"/>
        <v>693.45</v>
      </c>
      <c r="O407">
        <f t="shared" si="20"/>
        <v>-693.45</v>
      </c>
    </row>
    <row r="408" spans="1:15" x14ac:dyDescent="0.2">
      <c r="A408" t="s">
        <v>48</v>
      </c>
      <c r="B408">
        <v>60564</v>
      </c>
      <c r="C408" t="s">
        <v>28</v>
      </c>
      <c r="D408" t="s">
        <v>22</v>
      </c>
      <c r="E408" s="3">
        <v>44789</v>
      </c>
      <c r="F408" t="s">
        <v>46</v>
      </c>
      <c r="G408" s="2">
        <v>44984</v>
      </c>
      <c r="H408" t="s">
        <v>49</v>
      </c>
      <c r="I408" s="2">
        <v>45170</v>
      </c>
      <c r="J408">
        <v>622.95000000000005</v>
      </c>
      <c r="K408">
        <v>84.9</v>
      </c>
      <c r="L408" t="s">
        <v>20</v>
      </c>
      <c r="M408">
        <f t="shared" si="18"/>
        <v>0</v>
      </c>
      <c r="N408">
        <f t="shared" si="19"/>
        <v>622.95000000000005</v>
      </c>
      <c r="O408">
        <f t="shared" si="20"/>
        <v>-622.95000000000005</v>
      </c>
    </row>
    <row r="409" spans="1:15" x14ac:dyDescent="0.2">
      <c r="A409" t="s">
        <v>50</v>
      </c>
      <c r="B409">
        <v>60565</v>
      </c>
      <c r="C409" t="s">
        <v>28</v>
      </c>
      <c r="D409" t="s">
        <v>18</v>
      </c>
      <c r="E409" s="3">
        <v>44641</v>
      </c>
      <c r="F409" t="s">
        <v>33</v>
      </c>
      <c r="G409" s="2">
        <v>44804</v>
      </c>
      <c r="H409" t="s">
        <v>51</v>
      </c>
      <c r="I409" s="2">
        <v>45170</v>
      </c>
      <c r="J409">
        <v>669.22</v>
      </c>
      <c r="K409">
        <v>84.9</v>
      </c>
      <c r="L409" t="s">
        <v>20</v>
      </c>
      <c r="M409">
        <f t="shared" si="18"/>
        <v>0</v>
      </c>
      <c r="N409">
        <f t="shared" si="19"/>
        <v>669.22</v>
      </c>
      <c r="O409">
        <f t="shared" si="20"/>
        <v>-669.22</v>
      </c>
    </row>
    <row r="410" spans="1:15" x14ac:dyDescent="0.2">
      <c r="A410" t="s">
        <v>32</v>
      </c>
      <c r="B410">
        <v>60564</v>
      </c>
      <c r="C410" t="s">
        <v>28</v>
      </c>
      <c r="D410" t="s">
        <v>14</v>
      </c>
      <c r="E410" s="3">
        <v>44602</v>
      </c>
      <c r="F410" t="s">
        <v>33</v>
      </c>
      <c r="G410" s="2">
        <v>44976</v>
      </c>
      <c r="H410" t="s">
        <v>34</v>
      </c>
      <c r="I410" s="2">
        <v>45200</v>
      </c>
      <c r="J410">
        <v>708.27</v>
      </c>
      <c r="K410">
        <v>80.8</v>
      </c>
      <c r="L410" t="s">
        <v>20</v>
      </c>
      <c r="M410">
        <f t="shared" si="18"/>
        <v>0</v>
      </c>
      <c r="N410">
        <f t="shared" si="19"/>
        <v>708.27</v>
      </c>
      <c r="O410">
        <f t="shared" si="20"/>
        <v>-708.27</v>
      </c>
    </row>
    <row r="411" spans="1:15" x14ac:dyDescent="0.2">
      <c r="A411" t="s">
        <v>35</v>
      </c>
      <c r="B411">
        <v>60540</v>
      </c>
      <c r="C411" t="s">
        <v>28</v>
      </c>
      <c r="D411" t="s">
        <v>22</v>
      </c>
      <c r="E411" s="3">
        <v>44635</v>
      </c>
      <c r="F411" t="s">
        <v>36</v>
      </c>
      <c r="G411" s="2">
        <v>45023</v>
      </c>
      <c r="H411" t="s">
        <v>37</v>
      </c>
      <c r="I411" s="2">
        <v>45200</v>
      </c>
      <c r="J411">
        <v>676.52</v>
      </c>
      <c r="K411">
        <v>80.8</v>
      </c>
      <c r="L411" t="s">
        <v>20</v>
      </c>
      <c r="M411">
        <f t="shared" si="18"/>
        <v>0</v>
      </c>
      <c r="N411">
        <f t="shared" si="19"/>
        <v>676.52</v>
      </c>
      <c r="O411">
        <f t="shared" si="20"/>
        <v>-676.52</v>
      </c>
    </row>
    <row r="412" spans="1:15" x14ac:dyDescent="0.2">
      <c r="A412" t="s">
        <v>38</v>
      </c>
      <c r="B412">
        <v>60563</v>
      </c>
      <c r="C412" t="s">
        <v>28</v>
      </c>
      <c r="D412" t="s">
        <v>18</v>
      </c>
      <c r="E412" s="3">
        <v>44767</v>
      </c>
      <c r="F412" t="s">
        <v>39</v>
      </c>
      <c r="G412" s="2">
        <v>45037</v>
      </c>
      <c r="H412" t="s">
        <v>40</v>
      </c>
      <c r="I412" s="2">
        <v>45200</v>
      </c>
      <c r="J412">
        <v>758.61</v>
      </c>
      <c r="K412">
        <v>80.8</v>
      </c>
      <c r="L412" t="s">
        <v>20</v>
      </c>
      <c r="M412">
        <f t="shared" si="18"/>
        <v>0</v>
      </c>
      <c r="N412">
        <f t="shared" si="19"/>
        <v>758.61</v>
      </c>
      <c r="O412">
        <f t="shared" si="20"/>
        <v>-758.61</v>
      </c>
    </row>
    <row r="413" spans="1:15" x14ac:dyDescent="0.2">
      <c r="A413" t="s">
        <v>41</v>
      </c>
      <c r="B413">
        <v>60564</v>
      </c>
      <c r="C413" t="s">
        <v>28</v>
      </c>
      <c r="D413" t="s">
        <v>22</v>
      </c>
      <c r="E413" s="3">
        <v>44815</v>
      </c>
      <c r="F413" t="s">
        <v>36</v>
      </c>
      <c r="G413" s="2">
        <v>44928</v>
      </c>
      <c r="H413" t="s">
        <v>42</v>
      </c>
      <c r="I413" s="2">
        <v>45200</v>
      </c>
      <c r="J413">
        <v>938.16</v>
      </c>
      <c r="K413">
        <v>80.8</v>
      </c>
      <c r="L413" t="s">
        <v>20</v>
      </c>
      <c r="M413">
        <f t="shared" si="18"/>
        <v>0</v>
      </c>
      <c r="N413">
        <f t="shared" si="19"/>
        <v>938.16</v>
      </c>
      <c r="O413">
        <f t="shared" si="20"/>
        <v>-938.16</v>
      </c>
    </row>
    <row r="414" spans="1:15" x14ac:dyDescent="0.2">
      <c r="A414" t="s">
        <v>43</v>
      </c>
      <c r="B414">
        <v>60564</v>
      </c>
      <c r="C414" t="s">
        <v>28</v>
      </c>
      <c r="D414" t="s">
        <v>18</v>
      </c>
      <c r="E414" s="3">
        <v>44759</v>
      </c>
      <c r="F414" t="s">
        <v>33</v>
      </c>
      <c r="G414" s="2">
        <v>45025</v>
      </c>
      <c r="H414" t="s">
        <v>44</v>
      </c>
      <c r="I414" s="2">
        <v>45200</v>
      </c>
      <c r="J414">
        <v>486.12</v>
      </c>
      <c r="K414">
        <v>80.8</v>
      </c>
      <c r="L414" t="s">
        <v>20</v>
      </c>
      <c r="M414">
        <f t="shared" si="18"/>
        <v>0</v>
      </c>
      <c r="N414">
        <f t="shared" si="19"/>
        <v>486.12</v>
      </c>
      <c r="O414">
        <f t="shared" si="20"/>
        <v>-486.12</v>
      </c>
    </row>
    <row r="415" spans="1:15" x14ac:dyDescent="0.2">
      <c r="A415" t="s">
        <v>45</v>
      </c>
      <c r="B415">
        <v>60565</v>
      </c>
      <c r="C415" t="s">
        <v>28</v>
      </c>
      <c r="D415" t="s">
        <v>18</v>
      </c>
      <c r="E415" s="3">
        <v>44815</v>
      </c>
      <c r="F415" t="s">
        <v>46</v>
      </c>
      <c r="G415" s="2">
        <v>44968</v>
      </c>
      <c r="H415" t="s">
        <v>47</v>
      </c>
      <c r="I415" s="2">
        <v>45200</v>
      </c>
      <c r="J415">
        <v>780.74</v>
      </c>
      <c r="K415">
        <v>80.8</v>
      </c>
      <c r="L415" t="s">
        <v>20</v>
      </c>
      <c r="M415">
        <f t="shared" si="18"/>
        <v>0</v>
      </c>
      <c r="N415">
        <f t="shared" si="19"/>
        <v>780.74</v>
      </c>
      <c r="O415">
        <f t="shared" si="20"/>
        <v>-780.74</v>
      </c>
    </row>
    <row r="416" spans="1:15" x14ac:dyDescent="0.2">
      <c r="A416" t="s">
        <v>48</v>
      </c>
      <c r="B416">
        <v>60564</v>
      </c>
      <c r="C416" t="s">
        <v>28</v>
      </c>
      <c r="D416" t="s">
        <v>22</v>
      </c>
      <c r="E416" s="3">
        <v>44789</v>
      </c>
      <c r="F416" t="s">
        <v>46</v>
      </c>
      <c r="G416" s="2">
        <v>44984</v>
      </c>
      <c r="H416" t="s">
        <v>49</v>
      </c>
      <c r="I416" s="2">
        <v>45200</v>
      </c>
      <c r="J416">
        <v>637.6</v>
      </c>
      <c r="K416">
        <v>80.8</v>
      </c>
      <c r="L416" t="s">
        <v>20</v>
      </c>
      <c r="M416">
        <f t="shared" si="18"/>
        <v>0</v>
      </c>
      <c r="N416">
        <f t="shared" si="19"/>
        <v>637.6</v>
      </c>
      <c r="O416">
        <f t="shared" si="20"/>
        <v>-637.6</v>
      </c>
    </row>
    <row r="417" spans="1:15" x14ac:dyDescent="0.2">
      <c r="A417" t="s">
        <v>50</v>
      </c>
      <c r="B417">
        <v>60565</v>
      </c>
      <c r="C417" t="s">
        <v>28</v>
      </c>
      <c r="D417" t="s">
        <v>18</v>
      </c>
      <c r="E417" s="3">
        <v>44641</v>
      </c>
      <c r="F417" t="s">
        <v>33</v>
      </c>
      <c r="G417" s="2">
        <v>44804</v>
      </c>
      <c r="H417" t="s">
        <v>51</v>
      </c>
      <c r="I417" s="2">
        <v>45200</v>
      </c>
      <c r="J417">
        <v>634.11</v>
      </c>
      <c r="K417">
        <v>80.8</v>
      </c>
      <c r="L417" t="s">
        <v>20</v>
      </c>
      <c r="M417">
        <f t="shared" si="18"/>
        <v>0</v>
      </c>
      <c r="N417">
        <f t="shared" si="19"/>
        <v>634.11</v>
      </c>
      <c r="O417">
        <f t="shared" si="20"/>
        <v>-634.11</v>
      </c>
    </row>
    <row r="418" spans="1:15" x14ac:dyDescent="0.2">
      <c r="A418" t="s">
        <v>32</v>
      </c>
      <c r="B418">
        <v>60564</v>
      </c>
      <c r="C418" t="s">
        <v>28</v>
      </c>
      <c r="D418" t="s">
        <v>14</v>
      </c>
      <c r="E418" s="3">
        <v>44602</v>
      </c>
      <c r="F418" t="s">
        <v>33</v>
      </c>
      <c r="G418" s="2">
        <v>44976</v>
      </c>
      <c r="H418" t="s">
        <v>34</v>
      </c>
      <c r="I418" s="2">
        <v>45231</v>
      </c>
      <c r="J418">
        <v>674.16</v>
      </c>
      <c r="K418">
        <v>46.5</v>
      </c>
      <c r="L418" t="s">
        <v>16</v>
      </c>
      <c r="M418">
        <f t="shared" si="18"/>
        <v>0</v>
      </c>
      <c r="N418">
        <f t="shared" si="19"/>
        <v>674.16</v>
      </c>
      <c r="O418">
        <f t="shared" si="20"/>
        <v>-674.16</v>
      </c>
    </row>
    <row r="419" spans="1:15" x14ac:dyDescent="0.2">
      <c r="A419" t="s">
        <v>35</v>
      </c>
      <c r="B419">
        <v>60540</v>
      </c>
      <c r="C419" t="s">
        <v>28</v>
      </c>
      <c r="D419" t="s">
        <v>22</v>
      </c>
      <c r="E419" s="3">
        <v>44635</v>
      </c>
      <c r="F419" t="s">
        <v>36</v>
      </c>
      <c r="G419" s="2">
        <v>45023</v>
      </c>
      <c r="H419" t="s">
        <v>37</v>
      </c>
      <c r="I419" s="2">
        <v>45231</v>
      </c>
      <c r="J419">
        <v>601.28</v>
      </c>
      <c r="K419">
        <v>46.5</v>
      </c>
      <c r="L419" t="s">
        <v>16</v>
      </c>
      <c r="M419">
        <f t="shared" si="18"/>
        <v>0</v>
      </c>
      <c r="N419">
        <f t="shared" si="19"/>
        <v>601.28</v>
      </c>
      <c r="O419">
        <f t="shared" si="20"/>
        <v>-601.28</v>
      </c>
    </row>
    <row r="420" spans="1:15" x14ac:dyDescent="0.2">
      <c r="A420" t="s">
        <v>38</v>
      </c>
      <c r="B420">
        <v>60563</v>
      </c>
      <c r="C420" t="s">
        <v>28</v>
      </c>
      <c r="D420" t="s">
        <v>18</v>
      </c>
      <c r="E420" s="3">
        <v>44767</v>
      </c>
      <c r="F420" t="s">
        <v>39</v>
      </c>
      <c r="G420" s="2">
        <v>45037</v>
      </c>
      <c r="H420" t="s">
        <v>40</v>
      </c>
      <c r="I420" s="2">
        <v>45231</v>
      </c>
      <c r="J420">
        <v>547.67999999999995</v>
      </c>
      <c r="K420">
        <v>46.5</v>
      </c>
      <c r="L420" t="s">
        <v>16</v>
      </c>
      <c r="M420">
        <f t="shared" si="18"/>
        <v>0</v>
      </c>
      <c r="N420">
        <f t="shared" si="19"/>
        <v>547.67999999999995</v>
      </c>
      <c r="O420">
        <f t="shared" si="20"/>
        <v>-547.67999999999995</v>
      </c>
    </row>
    <row r="421" spans="1:15" x14ac:dyDescent="0.2">
      <c r="A421" t="s">
        <v>41</v>
      </c>
      <c r="B421">
        <v>60564</v>
      </c>
      <c r="C421" t="s">
        <v>28</v>
      </c>
      <c r="D421" t="s">
        <v>22</v>
      </c>
      <c r="E421" s="3">
        <v>44815</v>
      </c>
      <c r="F421" t="s">
        <v>36</v>
      </c>
      <c r="G421" s="2">
        <v>44928</v>
      </c>
      <c r="H421" t="s">
        <v>42</v>
      </c>
      <c r="I421" s="2">
        <v>45231</v>
      </c>
      <c r="J421">
        <v>778.6</v>
      </c>
      <c r="K421">
        <v>46.5</v>
      </c>
      <c r="L421" t="s">
        <v>16</v>
      </c>
      <c r="M421">
        <f t="shared" si="18"/>
        <v>0</v>
      </c>
      <c r="N421">
        <f t="shared" si="19"/>
        <v>778.6</v>
      </c>
      <c r="O421">
        <f t="shared" si="20"/>
        <v>-778.6</v>
      </c>
    </row>
    <row r="422" spans="1:15" x14ac:dyDescent="0.2">
      <c r="A422" t="s">
        <v>43</v>
      </c>
      <c r="B422">
        <v>60564</v>
      </c>
      <c r="C422" t="s">
        <v>28</v>
      </c>
      <c r="D422" t="s">
        <v>18</v>
      </c>
      <c r="E422" s="3">
        <v>44759</v>
      </c>
      <c r="F422" t="s">
        <v>33</v>
      </c>
      <c r="G422" s="2">
        <v>45025</v>
      </c>
      <c r="H422" t="s">
        <v>44</v>
      </c>
      <c r="I422" s="2">
        <v>45231</v>
      </c>
      <c r="J422">
        <v>899.7</v>
      </c>
      <c r="K422">
        <v>46.5</v>
      </c>
      <c r="L422" t="s">
        <v>16</v>
      </c>
      <c r="M422">
        <f t="shared" si="18"/>
        <v>0</v>
      </c>
      <c r="N422">
        <f t="shared" si="19"/>
        <v>899.7</v>
      </c>
      <c r="O422">
        <f t="shared" si="20"/>
        <v>-899.7</v>
      </c>
    </row>
    <row r="423" spans="1:15" x14ac:dyDescent="0.2">
      <c r="A423" t="s">
        <v>45</v>
      </c>
      <c r="B423">
        <v>60565</v>
      </c>
      <c r="C423" t="s">
        <v>28</v>
      </c>
      <c r="D423" t="s">
        <v>18</v>
      </c>
      <c r="E423" s="3">
        <v>44815</v>
      </c>
      <c r="F423" t="s">
        <v>46</v>
      </c>
      <c r="G423" s="2">
        <v>44968</v>
      </c>
      <c r="H423" t="s">
        <v>47</v>
      </c>
      <c r="I423" s="2">
        <v>45231</v>
      </c>
      <c r="J423">
        <v>784.05</v>
      </c>
      <c r="K423">
        <v>46.5</v>
      </c>
      <c r="L423" t="s">
        <v>16</v>
      </c>
      <c r="M423">
        <f t="shared" si="18"/>
        <v>0</v>
      </c>
      <c r="N423">
        <f t="shared" si="19"/>
        <v>784.05</v>
      </c>
      <c r="O423">
        <f t="shared" si="20"/>
        <v>-784.05</v>
      </c>
    </row>
    <row r="424" spans="1:15" x14ac:dyDescent="0.2">
      <c r="A424" t="s">
        <v>48</v>
      </c>
      <c r="B424">
        <v>60564</v>
      </c>
      <c r="C424" t="s">
        <v>28</v>
      </c>
      <c r="D424" t="s">
        <v>22</v>
      </c>
      <c r="E424" s="3">
        <v>44789</v>
      </c>
      <c r="F424" t="s">
        <v>46</v>
      </c>
      <c r="G424" s="2">
        <v>44984</v>
      </c>
      <c r="H424" t="s">
        <v>49</v>
      </c>
      <c r="I424" s="2">
        <v>45231</v>
      </c>
      <c r="J424">
        <v>957.14</v>
      </c>
      <c r="K424">
        <v>46.5</v>
      </c>
      <c r="L424" t="s">
        <v>16</v>
      </c>
      <c r="M424">
        <f t="shared" si="18"/>
        <v>0</v>
      </c>
      <c r="N424">
        <f t="shared" si="19"/>
        <v>957.14</v>
      </c>
      <c r="O424">
        <f t="shared" si="20"/>
        <v>-957.14</v>
      </c>
    </row>
    <row r="425" spans="1:15" x14ac:dyDescent="0.2">
      <c r="A425" t="s">
        <v>50</v>
      </c>
      <c r="B425">
        <v>60565</v>
      </c>
      <c r="C425" t="s">
        <v>28</v>
      </c>
      <c r="D425" t="s">
        <v>18</v>
      </c>
      <c r="E425" s="3">
        <v>44641</v>
      </c>
      <c r="F425" t="s">
        <v>33</v>
      </c>
      <c r="G425" s="2">
        <v>44804</v>
      </c>
      <c r="H425" t="s">
        <v>51</v>
      </c>
      <c r="I425" s="2">
        <v>45231</v>
      </c>
      <c r="J425">
        <v>766.37</v>
      </c>
      <c r="K425">
        <v>46.5</v>
      </c>
      <c r="L425" t="s">
        <v>16</v>
      </c>
      <c r="M425">
        <f t="shared" si="18"/>
        <v>0</v>
      </c>
      <c r="N425">
        <f t="shared" si="19"/>
        <v>766.37</v>
      </c>
      <c r="O425">
        <f t="shared" si="20"/>
        <v>-766.37</v>
      </c>
    </row>
    <row r="426" spans="1:15" x14ac:dyDescent="0.2">
      <c r="A426" t="s">
        <v>32</v>
      </c>
      <c r="B426">
        <v>60564</v>
      </c>
      <c r="C426" t="s">
        <v>28</v>
      </c>
      <c r="D426" t="s">
        <v>14</v>
      </c>
      <c r="E426" s="3">
        <v>44602</v>
      </c>
      <c r="F426" t="s">
        <v>33</v>
      </c>
      <c r="G426" s="2">
        <v>44976</v>
      </c>
      <c r="H426" t="s">
        <v>34</v>
      </c>
      <c r="I426" s="2">
        <v>45261</v>
      </c>
      <c r="J426">
        <v>818.35</v>
      </c>
      <c r="K426">
        <v>29.2</v>
      </c>
      <c r="L426" t="s">
        <v>19</v>
      </c>
      <c r="M426">
        <f t="shared" si="18"/>
        <v>0</v>
      </c>
      <c r="N426">
        <f t="shared" si="19"/>
        <v>818.35</v>
      </c>
      <c r="O426">
        <f t="shared" si="20"/>
        <v>-818.35</v>
      </c>
    </row>
    <row r="427" spans="1:15" x14ac:dyDescent="0.2">
      <c r="A427" t="s">
        <v>35</v>
      </c>
      <c r="B427">
        <v>60540</v>
      </c>
      <c r="C427" t="s">
        <v>28</v>
      </c>
      <c r="D427" t="s">
        <v>22</v>
      </c>
      <c r="E427" s="3">
        <v>44635</v>
      </c>
      <c r="F427" t="s">
        <v>36</v>
      </c>
      <c r="G427" s="2">
        <v>45023</v>
      </c>
      <c r="H427" t="s">
        <v>37</v>
      </c>
      <c r="I427" s="2">
        <v>45261</v>
      </c>
      <c r="J427">
        <v>650.88</v>
      </c>
      <c r="K427">
        <v>29.2</v>
      </c>
      <c r="L427" t="s">
        <v>19</v>
      </c>
      <c r="M427">
        <f t="shared" si="18"/>
        <v>0</v>
      </c>
      <c r="N427">
        <f t="shared" si="19"/>
        <v>650.88</v>
      </c>
      <c r="O427">
        <f t="shared" si="20"/>
        <v>-650.88</v>
      </c>
    </row>
    <row r="428" spans="1:15" x14ac:dyDescent="0.2">
      <c r="A428" t="s">
        <v>38</v>
      </c>
      <c r="B428">
        <v>60563</v>
      </c>
      <c r="C428" t="s">
        <v>28</v>
      </c>
      <c r="D428" t="s">
        <v>18</v>
      </c>
      <c r="E428" s="3">
        <v>44767</v>
      </c>
      <c r="F428" t="s">
        <v>39</v>
      </c>
      <c r="G428" s="2">
        <v>45037</v>
      </c>
      <c r="H428" t="s">
        <v>40</v>
      </c>
      <c r="I428" s="2">
        <v>45261</v>
      </c>
      <c r="J428">
        <v>820.59</v>
      </c>
      <c r="K428">
        <v>29.2</v>
      </c>
      <c r="L428" t="s">
        <v>19</v>
      </c>
      <c r="M428">
        <f t="shared" si="18"/>
        <v>0</v>
      </c>
      <c r="N428">
        <f t="shared" si="19"/>
        <v>820.59</v>
      </c>
      <c r="O428">
        <f t="shared" si="20"/>
        <v>-820.59</v>
      </c>
    </row>
    <row r="429" spans="1:15" x14ac:dyDescent="0.2">
      <c r="A429" t="s">
        <v>41</v>
      </c>
      <c r="B429">
        <v>60564</v>
      </c>
      <c r="C429" t="s">
        <v>28</v>
      </c>
      <c r="D429" t="s">
        <v>22</v>
      </c>
      <c r="E429" s="3">
        <v>44815</v>
      </c>
      <c r="F429" t="s">
        <v>36</v>
      </c>
      <c r="G429" s="2">
        <v>44928</v>
      </c>
      <c r="H429" t="s">
        <v>42</v>
      </c>
      <c r="I429" s="2">
        <v>45261</v>
      </c>
      <c r="J429">
        <v>671.29</v>
      </c>
      <c r="K429">
        <v>29.2</v>
      </c>
      <c r="L429" t="s">
        <v>19</v>
      </c>
      <c r="M429">
        <f t="shared" si="18"/>
        <v>0</v>
      </c>
      <c r="N429">
        <f t="shared" si="19"/>
        <v>671.29</v>
      </c>
      <c r="O429">
        <f t="shared" si="20"/>
        <v>-671.29</v>
      </c>
    </row>
    <row r="430" spans="1:15" x14ac:dyDescent="0.2">
      <c r="A430" t="s">
        <v>43</v>
      </c>
      <c r="B430">
        <v>60564</v>
      </c>
      <c r="C430" t="s">
        <v>28</v>
      </c>
      <c r="D430" t="s">
        <v>18</v>
      </c>
      <c r="E430" s="3">
        <v>44759</v>
      </c>
      <c r="F430" t="s">
        <v>33</v>
      </c>
      <c r="G430" s="2">
        <v>45025</v>
      </c>
      <c r="H430" t="s">
        <v>44</v>
      </c>
      <c r="I430" s="2">
        <v>45261</v>
      </c>
      <c r="J430">
        <v>898.4</v>
      </c>
      <c r="K430">
        <v>29.2</v>
      </c>
      <c r="L430" t="s">
        <v>19</v>
      </c>
      <c r="M430">
        <f t="shared" si="18"/>
        <v>0</v>
      </c>
      <c r="N430">
        <f t="shared" si="19"/>
        <v>898.4</v>
      </c>
      <c r="O430">
        <f t="shared" si="20"/>
        <v>-898.4</v>
      </c>
    </row>
    <row r="431" spans="1:15" x14ac:dyDescent="0.2">
      <c r="A431" t="s">
        <v>45</v>
      </c>
      <c r="B431">
        <v>60565</v>
      </c>
      <c r="C431" t="s">
        <v>28</v>
      </c>
      <c r="D431" t="s">
        <v>18</v>
      </c>
      <c r="E431" s="3">
        <v>44815</v>
      </c>
      <c r="F431" t="s">
        <v>46</v>
      </c>
      <c r="G431" s="2">
        <v>44968</v>
      </c>
      <c r="H431" t="s">
        <v>47</v>
      </c>
      <c r="I431" s="2">
        <v>45261</v>
      </c>
      <c r="J431">
        <v>696.15</v>
      </c>
      <c r="K431">
        <v>29.2</v>
      </c>
      <c r="L431" t="s">
        <v>19</v>
      </c>
      <c r="M431">
        <f t="shared" si="18"/>
        <v>0</v>
      </c>
      <c r="N431">
        <f t="shared" si="19"/>
        <v>696.15</v>
      </c>
      <c r="O431">
        <f t="shared" si="20"/>
        <v>-696.15</v>
      </c>
    </row>
    <row r="432" spans="1:15" x14ac:dyDescent="0.2">
      <c r="A432" t="s">
        <v>48</v>
      </c>
      <c r="B432">
        <v>60564</v>
      </c>
      <c r="C432" t="s">
        <v>28</v>
      </c>
      <c r="D432" t="s">
        <v>22</v>
      </c>
      <c r="E432" s="3">
        <v>44789</v>
      </c>
      <c r="F432" t="s">
        <v>46</v>
      </c>
      <c r="G432" s="2">
        <v>44984</v>
      </c>
      <c r="H432" t="s">
        <v>49</v>
      </c>
      <c r="I432" s="2">
        <v>45261</v>
      </c>
      <c r="J432">
        <v>714.9</v>
      </c>
      <c r="K432">
        <v>29.2</v>
      </c>
      <c r="L432" t="s">
        <v>19</v>
      </c>
      <c r="M432">
        <f t="shared" si="18"/>
        <v>0</v>
      </c>
      <c r="N432">
        <f t="shared" si="19"/>
        <v>714.9</v>
      </c>
      <c r="O432">
        <f t="shared" si="20"/>
        <v>-714.9</v>
      </c>
    </row>
    <row r="433" spans="1:15" x14ac:dyDescent="0.2">
      <c r="A433" t="s">
        <v>50</v>
      </c>
      <c r="B433">
        <v>60565</v>
      </c>
      <c r="C433" t="s">
        <v>28</v>
      </c>
      <c r="D433" t="s">
        <v>18</v>
      </c>
      <c r="E433" s="3">
        <v>44641</v>
      </c>
      <c r="F433" t="s">
        <v>33</v>
      </c>
      <c r="G433" s="2">
        <v>44804</v>
      </c>
      <c r="H433" t="s">
        <v>51</v>
      </c>
      <c r="I433" s="2">
        <v>45261</v>
      </c>
      <c r="J433">
        <v>801.01</v>
      </c>
      <c r="K433">
        <v>29.2</v>
      </c>
      <c r="L433" t="s">
        <v>19</v>
      </c>
      <c r="M433">
        <f t="shared" si="18"/>
        <v>0</v>
      </c>
      <c r="N433">
        <f t="shared" si="19"/>
        <v>801.01</v>
      </c>
      <c r="O433">
        <f t="shared" si="20"/>
        <v>-801.01</v>
      </c>
    </row>
    <row r="434" spans="1:15" x14ac:dyDescent="0.2">
      <c r="A434" t="s">
        <v>52</v>
      </c>
      <c r="B434">
        <v>60540</v>
      </c>
      <c r="C434" t="s">
        <v>28</v>
      </c>
      <c r="D434" t="s">
        <v>14</v>
      </c>
      <c r="E434" s="3">
        <v>44622</v>
      </c>
      <c r="F434" t="s">
        <v>46</v>
      </c>
      <c r="G434" s="2">
        <v>45043</v>
      </c>
      <c r="H434" t="s">
        <v>53</v>
      </c>
      <c r="I434" s="2">
        <v>44562</v>
      </c>
      <c r="J434">
        <v>931.69</v>
      </c>
      <c r="K434">
        <v>43</v>
      </c>
      <c r="L434" t="s">
        <v>16</v>
      </c>
      <c r="M434">
        <f t="shared" si="18"/>
        <v>931.69</v>
      </c>
      <c r="N434">
        <f t="shared" si="19"/>
        <v>0</v>
      </c>
      <c r="O434">
        <f t="shared" si="20"/>
        <v>931.69</v>
      </c>
    </row>
    <row r="435" spans="1:15" x14ac:dyDescent="0.2">
      <c r="A435" t="s">
        <v>52</v>
      </c>
      <c r="B435">
        <v>60540</v>
      </c>
      <c r="C435" t="s">
        <v>28</v>
      </c>
      <c r="D435" t="s">
        <v>14</v>
      </c>
      <c r="E435" s="3">
        <v>44622</v>
      </c>
      <c r="F435" t="s">
        <v>46</v>
      </c>
      <c r="G435" s="2">
        <v>45043</v>
      </c>
      <c r="H435" t="s">
        <v>53</v>
      </c>
      <c r="I435" s="2">
        <v>44593</v>
      </c>
      <c r="J435">
        <v>843.93</v>
      </c>
      <c r="K435">
        <v>26.4</v>
      </c>
      <c r="L435" t="s">
        <v>19</v>
      </c>
      <c r="M435">
        <f t="shared" si="18"/>
        <v>843.93</v>
      </c>
      <c r="N435">
        <f t="shared" si="19"/>
        <v>0</v>
      </c>
      <c r="O435">
        <f t="shared" si="20"/>
        <v>843.93</v>
      </c>
    </row>
    <row r="436" spans="1:15" x14ac:dyDescent="0.2">
      <c r="A436" t="s">
        <v>52</v>
      </c>
      <c r="B436">
        <v>60540</v>
      </c>
      <c r="C436" t="s">
        <v>28</v>
      </c>
      <c r="D436" t="s">
        <v>14</v>
      </c>
      <c r="E436" s="3">
        <v>44622</v>
      </c>
      <c r="F436" t="s">
        <v>46</v>
      </c>
      <c r="G436" s="2">
        <v>45043</v>
      </c>
      <c r="H436" t="s">
        <v>53</v>
      </c>
      <c r="I436" s="2">
        <v>44621</v>
      </c>
      <c r="J436">
        <v>711.18</v>
      </c>
      <c r="K436">
        <v>29.5</v>
      </c>
      <c r="L436" t="s">
        <v>19</v>
      </c>
      <c r="M436">
        <f t="shared" si="18"/>
        <v>711.18</v>
      </c>
      <c r="N436">
        <f t="shared" si="19"/>
        <v>0</v>
      </c>
      <c r="O436">
        <f t="shared" si="20"/>
        <v>711.18</v>
      </c>
    </row>
    <row r="437" spans="1:15" x14ac:dyDescent="0.2">
      <c r="A437" t="s">
        <v>52</v>
      </c>
      <c r="B437">
        <v>60540</v>
      </c>
      <c r="C437" t="s">
        <v>28</v>
      </c>
      <c r="D437" t="s">
        <v>14</v>
      </c>
      <c r="E437" s="3">
        <v>44622</v>
      </c>
      <c r="F437" t="s">
        <v>46</v>
      </c>
      <c r="G437" s="2">
        <v>45043</v>
      </c>
      <c r="H437" t="s">
        <v>53</v>
      </c>
      <c r="I437" s="2">
        <v>44652</v>
      </c>
      <c r="J437">
        <v>663.7</v>
      </c>
      <c r="K437">
        <v>50.8</v>
      </c>
      <c r="L437" t="s">
        <v>16</v>
      </c>
      <c r="M437">
        <f t="shared" si="18"/>
        <v>663.7</v>
      </c>
      <c r="N437">
        <f t="shared" si="19"/>
        <v>0</v>
      </c>
      <c r="O437">
        <f t="shared" si="20"/>
        <v>663.7</v>
      </c>
    </row>
    <row r="438" spans="1:15" x14ac:dyDescent="0.2">
      <c r="A438" t="s">
        <v>52</v>
      </c>
      <c r="B438">
        <v>60540</v>
      </c>
      <c r="C438" t="s">
        <v>28</v>
      </c>
      <c r="D438" t="s">
        <v>14</v>
      </c>
      <c r="E438" s="3">
        <v>44622</v>
      </c>
      <c r="F438" t="s">
        <v>46</v>
      </c>
      <c r="G438" s="2">
        <v>45043</v>
      </c>
      <c r="H438" t="s">
        <v>53</v>
      </c>
      <c r="I438" s="2">
        <v>44682</v>
      </c>
      <c r="J438">
        <v>732.75</v>
      </c>
      <c r="K438">
        <v>46.3</v>
      </c>
      <c r="L438" t="s">
        <v>16</v>
      </c>
      <c r="M438">
        <f t="shared" si="18"/>
        <v>732.75</v>
      </c>
      <c r="N438">
        <f t="shared" si="19"/>
        <v>0</v>
      </c>
      <c r="O438">
        <f t="shared" si="20"/>
        <v>732.75</v>
      </c>
    </row>
    <row r="439" spans="1:15" x14ac:dyDescent="0.2">
      <c r="A439" t="s">
        <v>52</v>
      </c>
      <c r="B439">
        <v>60540</v>
      </c>
      <c r="C439" t="s">
        <v>28</v>
      </c>
      <c r="D439" t="s">
        <v>14</v>
      </c>
      <c r="E439" s="3">
        <v>44622</v>
      </c>
      <c r="F439" t="s">
        <v>46</v>
      </c>
      <c r="G439" s="2">
        <v>45043</v>
      </c>
      <c r="H439" t="s">
        <v>53</v>
      </c>
      <c r="I439" s="2">
        <v>44713</v>
      </c>
      <c r="J439">
        <v>571.52</v>
      </c>
      <c r="K439">
        <v>61.1</v>
      </c>
      <c r="L439" t="s">
        <v>16</v>
      </c>
      <c r="M439">
        <f t="shared" si="18"/>
        <v>571.52</v>
      </c>
      <c r="N439">
        <f t="shared" si="19"/>
        <v>0</v>
      </c>
      <c r="O439">
        <f t="shared" si="20"/>
        <v>571.52</v>
      </c>
    </row>
    <row r="440" spans="1:15" x14ac:dyDescent="0.2">
      <c r="A440" t="s">
        <v>52</v>
      </c>
      <c r="B440">
        <v>60540</v>
      </c>
      <c r="C440" t="s">
        <v>28</v>
      </c>
      <c r="D440" t="s">
        <v>14</v>
      </c>
      <c r="E440" s="3">
        <v>44622</v>
      </c>
      <c r="F440" t="s">
        <v>46</v>
      </c>
      <c r="G440" s="2">
        <v>45043</v>
      </c>
      <c r="H440" t="s">
        <v>53</v>
      </c>
      <c r="I440" s="2">
        <v>44743</v>
      </c>
      <c r="J440">
        <v>751.05</v>
      </c>
      <c r="K440">
        <v>27.4</v>
      </c>
      <c r="L440" t="s">
        <v>19</v>
      </c>
      <c r="M440">
        <f t="shared" si="18"/>
        <v>751.05</v>
      </c>
      <c r="N440">
        <f t="shared" si="19"/>
        <v>0</v>
      </c>
      <c r="O440">
        <f t="shared" si="20"/>
        <v>751.05</v>
      </c>
    </row>
    <row r="441" spans="1:15" x14ac:dyDescent="0.2">
      <c r="A441" t="s">
        <v>52</v>
      </c>
      <c r="B441">
        <v>60540</v>
      </c>
      <c r="C441" t="s">
        <v>28</v>
      </c>
      <c r="D441" t="s">
        <v>14</v>
      </c>
      <c r="E441" s="3">
        <v>44622</v>
      </c>
      <c r="F441" t="s">
        <v>46</v>
      </c>
      <c r="G441" s="2">
        <v>45043</v>
      </c>
      <c r="H441" t="s">
        <v>53</v>
      </c>
      <c r="I441" s="2">
        <v>44774</v>
      </c>
      <c r="J441">
        <v>862.26</v>
      </c>
      <c r="K441">
        <v>54.2</v>
      </c>
      <c r="L441" t="s">
        <v>16</v>
      </c>
      <c r="M441">
        <f t="shared" si="18"/>
        <v>862.26</v>
      </c>
      <c r="N441">
        <f t="shared" si="19"/>
        <v>0</v>
      </c>
      <c r="O441">
        <f t="shared" si="20"/>
        <v>862.26</v>
      </c>
    </row>
    <row r="442" spans="1:15" x14ac:dyDescent="0.2">
      <c r="A442" t="s">
        <v>52</v>
      </c>
      <c r="B442">
        <v>60540</v>
      </c>
      <c r="C442" t="s">
        <v>28</v>
      </c>
      <c r="D442" t="s">
        <v>14</v>
      </c>
      <c r="E442" s="3">
        <v>44622</v>
      </c>
      <c r="F442" t="s">
        <v>46</v>
      </c>
      <c r="G442" s="2">
        <v>45043</v>
      </c>
      <c r="H442" t="s">
        <v>53</v>
      </c>
      <c r="I442" s="2">
        <v>44805</v>
      </c>
      <c r="J442">
        <v>752.37</v>
      </c>
      <c r="K442">
        <v>41.9</v>
      </c>
      <c r="L442" t="s">
        <v>16</v>
      </c>
      <c r="M442">
        <f t="shared" si="18"/>
        <v>752.37</v>
      </c>
      <c r="N442">
        <f t="shared" si="19"/>
        <v>0</v>
      </c>
      <c r="O442">
        <f t="shared" si="20"/>
        <v>752.37</v>
      </c>
    </row>
    <row r="443" spans="1:15" x14ac:dyDescent="0.2">
      <c r="A443" t="s">
        <v>52</v>
      </c>
      <c r="B443">
        <v>60540</v>
      </c>
      <c r="C443" t="s">
        <v>28</v>
      </c>
      <c r="D443" t="s">
        <v>14</v>
      </c>
      <c r="E443" s="3">
        <v>44622</v>
      </c>
      <c r="F443" t="s">
        <v>46</v>
      </c>
      <c r="G443" s="2">
        <v>45043</v>
      </c>
      <c r="H443" t="s">
        <v>53</v>
      </c>
      <c r="I443" s="2">
        <v>44835</v>
      </c>
      <c r="J443">
        <v>938.83</v>
      </c>
      <c r="K443">
        <v>74.099999999999994</v>
      </c>
      <c r="L443" t="s">
        <v>20</v>
      </c>
      <c r="M443">
        <f t="shared" si="18"/>
        <v>938.83</v>
      </c>
      <c r="N443">
        <f t="shared" si="19"/>
        <v>0</v>
      </c>
      <c r="O443">
        <f t="shared" si="20"/>
        <v>938.83</v>
      </c>
    </row>
    <row r="444" spans="1:15" x14ac:dyDescent="0.2">
      <c r="A444" t="s">
        <v>52</v>
      </c>
      <c r="B444">
        <v>60540</v>
      </c>
      <c r="C444" t="s">
        <v>28</v>
      </c>
      <c r="D444" t="s">
        <v>14</v>
      </c>
      <c r="E444" s="3">
        <v>44622</v>
      </c>
      <c r="F444" t="s">
        <v>46</v>
      </c>
      <c r="G444" s="2">
        <v>45043</v>
      </c>
      <c r="H444" t="s">
        <v>53</v>
      </c>
      <c r="I444" s="2">
        <v>44866</v>
      </c>
      <c r="J444">
        <v>965.99</v>
      </c>
      <c r="K444">
        <v>42.6</v>
      </c>
      <c r="L444" t="s">
        <v>16</v>
      </c>
      <c r="M444">
        <f t="shared" si="18"/>
        <v>965.99</v>
      </c>
      <c r="N444">
        <f t="shared" si="19"/>
        <v>0</v>
      </c>
      <c r="O444">
        <f t="shared" si="20"/>
        <v>965.99</v>
      </c>
    </row>
    <row r="445" spans="1:15" x14ac:dyDescent="0.2">
      <c r="A445" t="s">
        <v>52</v>
      </c>
      <c r="B445">
        <v>60540</v>
      </c>
      <c r="C445" t="s">
        <v>28</v>
      </c>
      <c r="D445" t="s">
        <v>14</v>
      </c>
      <c r="E445" s="3">
        <v>44622</v>
      </c>
      <c r="F445" t="s">
        <v>46</v>
      </c>
      <c r="G445" s="2">
        <v>45043</v>
      </c>
      <c r="H445" t="s">
        <v>53</v>
      </c>
      <c r="I445" s="2">
        <v>44896</v>
      </c>
      <c r="J445">
        <v>927.56</v>
      </c>
      <c r="K445">
        <v>52.3</v>
      </c>
      <c r="L445" t="s">
        <v>16</v>
      </c>
      <c r="M445">
        <f t="shared" si="18"/>
        <v>927.56</v>
      </c>
      <c r="N445">
        <f t="shared" si="19"/>
        <v>0</v>
      </c>
      <c r="O445">
        <f t="shared" si="20"/>
        <v>927.56</v>
      </c>
    </row>
    <row r="446" spans="1:15" x14ac:dyDescent="0.2">
      <c r="A446" t="s">
        <v>52</v>
      </c>
      <c r="B446">
        <v>60540</v>
      </c>
      <c r="C446" t="s">
        <v>28</v>
      </c>
      <c r="D446" t="s">
        <v>14</v>
      </c>
      <c r="E446" s="3">
        <v>44622</v>
      </c>
      <c r="F446" t="s">
        <v>46</v>
      </c>
      <c r="G446" s="2">
        <v>45043</v>
      </c>
      <c r="H446" t="s">
        <v>53</v>
      </c>
      <c r="I446" s="2">
        <v>44927</v>
      </c>
      <c r="J446">
        <v>723.06</v>
      </c>
      <c r="K446">
        <v>76.2</v>
      </c>
      <c r="L446" t="s">
        <v>20</v>
      </c>
      <c r="M446">
        <f t="shared" si="18"/>
        <v>723.06</v>
      </c>
      <c r="N446">
        <f t="shared" si="19"/>
        <v>0</v>
      </c>
      <c r="O446">
        <f t="shared" si="20"/>
        <v>723.06</v>
      </c>
    </row>
    <row r="447" spans="1:15" x14ac:dyDescent="0.2">
      <c r="A447" t="s">
        <v>52</v>
      </c>
      <c r="B447">
        <v>60540</v>
      </c>
      <c r="C447" t="s">
        <v>28</v>
      </c>
      <c r="D447" t="s">
        <v>14</v>
      </c>
      <c r="E447" s="3">
        <v>44622</v>
      </c>
      <c r="F447" t="s">
        <v>46</v>
      </c>
      <c r="G447" s="2">
        <v>45043</v>
      </c>
      <c r="H447" t="s">
        <v>53</v>
      </c>
      <c r="I447" s="2">
        <v>44958</v>
      </c>
      <c r="J447">
        <v>467.53</v>
      </c>
      <c r="K447">
        <v>73.7</v>
      </c>
      <c r="L447" t="s">
        <v>20</v>
      </c>
      <c r="M447">
        <f t="shared" si="18"/>
        <v>467.53</v>
      </c>
      <c r="N447">
        <f t="shared" si="19"/>
        <v>0</v>
      </c>
      <c r="O447">
        <f t="shared" si="20"/>
        <v>467.53</v>
      </c>
    </row>
    <row r="448" spans="1:15" x14ac:dyDescent="0.2">
      <c r="A448" t="s">
        <v>52</v>
      </c>
      <c r="B448">
        <v>60540</v>
      </c>
      <c r="C448" t="s">
        <v>28</v>
      </c>
      <c r="D448" t="s">
        <v>14</v>
      </c>
      <c r="E448" s="3">
        <v>44622</v>
      </c>
      <c r="F448" t="s">
        <v>46</v>
      </c>
      <c r="G448" s="2">
        <v>45043</v>
      </c>
      <c r="H448" t="s">
        <v>53</v>
      </c>
      <c r="I448" s="2">
        <v>44986</v>
      </c>
      <c r="J448">
        <v>629.63</v>
      </c>
      <c r="K448">
        <v>52.8</v>
      </c>
      <c r="L448" t="s">
        <v>16</v>
      </c>
      <c r="M448">
        <f t="shared" si="18"/>
        <v>629.63</v>
      </c>
      <c r="N448">
        <f t="shared" si="19"/>
        <v>0</v>
      </c>
      <c r="O448">
        <f t="shared" si="20"/>
        <v>629.63</v>
      </c>
    </row>
    <row r="449" spans="1:15" x14ac:dyDescent="0.2">
      <c r="A449" t="s">
        <v>52</v>
      </c>
      <c r="B449">
        <v>60540</v>
      </c>
      <c r="C449" t="s">
        <v>28</v>
      </c>
      <c r="D449" t="s">
        <v>14</v>
      </c>
      <c r="E449" s="3">
        <v>44622</v>
      </c>
      <c r="F449" t="s">
        <v>46</v>
      </c>
      <c r="G449" s="2">
        <v>45043</v>
      </c>
      <c r="H449" t="s">
        <v>53</v>
      </c>
      <c r="I449" s="2">
        <v>45017</v>
      </c>
      <c r="J449">
        <v>685.8</v>
      </c>
      <c r="K449">
        <v>103.1</v>
      </c>
      <c r="L449" t="s">
        <v>20</v>
      </c>
      <c r="M449">
        <f t="shared" si="18"/>
        <v>685.8</v>
      </c>
      <c r="N449">
        <f t="shared" si="19"/>
        <v>0</v>
      </c>
      <c r="O449">
        <f t="shared" si="20"/>
        <v>685.8</v>
      </c>
    </row>
    <row r="450" spans="1:15" x14ac:dyDescent="0.2">
      <c r="A450" t="s">
        <v>52</v>
      </c>
      <c r="B450">
        <v>60540</v>
      </c>
      <c r="C450" t="s">
        <v>28</v>
      </c>
      <c r="D450" t="s">
        <v>14</v>
      </c>
      <c r="E450" s="3">
        <v>44622</v>
      </c>
      <c r="F450" t="s">
        <v>46</v>
      </c>
      <c r="G450" s="2">
        <v>45043</v>
      </c>
      <c r="H450" t="s">
        <v>53</v>
      </c>
      <c r="I450" s="2">
        <v>45047</v>
      </c>
      <c r="J450">
        <v>610.61</v>
      </c>
      <c r="K450">
        <v>40.6</v>
      </c>
      <c r="L450" t="s">
        <v>16</v>
      </c>
      <c r="M450">
        <f t="shared" ref="M450:M513" si="21">SUMIFS(J450,I450, "&lt;" &amp;G450,I450,"&lt;&gt;",G450,"&lt;&gt;")</f>
        <v>0</v>
      </c>
      <c r="N450">
        <f t="shared" ref="N450:N513" si="22">SUMIFS(J450,I450, "&gt;=" &amp;G450,I450,"&lt;&gt;",G450,"&lt;&gt;")</f>
        <v>610.61</v>
      </c>
      <c r="O450">
        <f t="shared" ref="O450:O513" si="23">SUM(M450-N450)</f>
        <v>-610.61</v>
      </c>
    </row>
    <row r="451" spans="1:15" x14ac:dyDescent="0.2">
      <c r="A451" t="s">
        <v>52</v>
      </c>
      <c r="B451">
        <v>60540</v>
      </c>
      <c r="C451" t="s">
        <v>28</v>
      </c>
      <c r="D451" t="s">
        <v>14</v>
      </c>
      <c r="E451" s="3">
        <v>44622</v>
      </c>
      <c r="F451" t="s">
        <v>46</v>
      </c>
      <c r="G451" s="2">
        <v>45043</v>
      </c>
      <c r="H451" t="s">
        <v>53</v>
      </c>
      <c r="I451" s="2">
        <v>45078</v>
      </c>
      <c r="J451">
        <v>686.05</v>
      </c>
      <c r="K451">
        <v>76</v>
      </c>
      <c r="L451" t="s">
        <v>20</v>
      </c>
      <c r="M451">
        <f t="shared" si="21"/>
        <v>0</v>
      </c>
      <c r="N451">
        <f t="shared" si="22"/>
        <v>686.05</v>
      </c>
      <c r="O451">
        <f t="shared" si="23"/>
        <v>-686.05</v>
      </c>
    </row>
    <row r="452" spans="1:15" x14ac:dyDescent="0.2">
      <c r="A452" t="s">
        <v>52</v>
      </c>
      <c r="B452">
        <v>60540</v>
      </c>
      <c r="C452" t="s">
        <v>28</v>
      </c>
      <c r="D452" t="s">
        <v>14</v>
      </c>
      <c r="E452" s="3">
        <v>44622</v>
      </c>
      <c r="F452" t="s">
        <v>46</v>
      </c>
      <c r="G452" s="2">
        <v>45043</v>
      </c>
      <c r="H452" t="s">
        <v>53</v>
      </c>
      <c r="I452" s="2">
        <v>45108</v>
      </c>
      <c r="J452">
        <v>861.01</v>
      </c>
      <c r="K452">
        <v>38.9</v>
      </c>
      <c r="L452" t="s">
        <v>19</v>
      </c>
      <c r="M452">
        <f t="shared" si="21"/>
        <v>0</v>
      </c>
      <c r="N452">
        <f t="shared" si="22"/>
        <v>861.01</v>
      </c>
      <c r="O452">
        <f t="shared" si="23"/>
        <v>-861.01</v>
      </c>
    </row>
    <row r="453" spans="1:15" x14ac:dyDescent="0.2">
      <c r="A453" t="s">
        <v>52</v>
      </c>
      <c r="B453">
        <v>60540</v>
      </c>
      <c r="C453" t="s">
        <v>28</v>
      </c>
      <c r="D453" t="s">
        <v>14</v>
      </c>
      <c r="E453" s="3">
        <v>44622</v>
      </c>
      <c r="F453" t="s">
        <v>46</v>
      </c>
      <c r="G453" s="2">
        <v>45043</v>
      </c>
      <c r="H453" t="s">
        <v>53</v>
      </c>
      <c r="I453" s="2">
        <v>45139</v>
      </c>
      <c r="J453">
        <v>535.41999999999996</v>
      </c>
      <c r="K453">
        <v>80</v>
      </c>
      <c r="L453" t="s">
        <v>20</v>
      </c>
      <c r="M453">
        <f t="shared" si="21"/>
        <v>0</v>
      </c>
      <c r="N453">
        <f t="shared" si="22"/>
        <v>535.41999999999996</v>
      </c>
      <c r="O453">
        <f t="shared" si="23"/>
        <v>-535.41999999999996</v>
      </c>
    </row>
    <row r="454" spans="1:15" x14ac:dyDescent="0.2">
      <c r="A454" t="s">
        <v>52</v>
      </c>
      <c r="B454">
        <v>60540</v>
      </c>
      <c r="C454" t="s">
        <v>28</v>
      </c>
      <c r="D454" t="s">
        <v>14</v>
      </c>
      <c r="E454" s="3">
        <v>44622</v>
      </c>
      <c r="F454" t="s">
        <v>46</v>
      </c>
      <c r="G454" s="2">
        <v>45043</v>
      </c>
      <c r="H454" t="s">
        <v>53</v>
      </c>
      <c r="I454" s="2">
        <v>45170</v>
      </c>
      <c r="J454">
        <v>881.17</v>
      </c>
      <c r="K454">
        <v>84.9</v>
      </c>
      <c r="L454" t="s">
        <v>20</v>
      </c>
      <c r="M454">
        <f t="shared" si="21"/>
        <v>0</v>
      </c>
      <c r="N454">
        <f t="shared" si="22"/>
        <v>881.17</v>
      </c>
      <c r="O454">
        <f t="shared" si="23"/>
        <v>-881.17</v>
      </c>
    </row>
    <row r="455" spans="1:15" x14ac:dyDescent="0.2">
      <c r="A455" t="s">
        <v>52</v>
      </c>
      <c r="B455">
        <v>60540</v>
      </c>
      <c r="C455" t="s">
        <v>28</v>
      </c>
      <c r="D455" t="s">
        <v>14</v>
      </c>
      <c r="E455" s="3">
        <v>44622</v>
      </c>
      <c r="F455" t="s">
        <v>46</v>
      </c>
      <c r="G455" s="2">
        <v>45043</v>
      </c>
      <c r="H455" t="s">
        <v>53</v>
      </c>
      <c r="I455" s="2">
        <v>45200</v>
      </c>
      <c r="J455">
        <v>788.47</v>
      </c>
      <c r="K455">
        <v>80.8</v>
      </c>
      <c r="L455" t="s">
        <v>20</v>
      </c>
      <c r="M455">
        <f t="shared" si="21"/>
        <v>0</v>
      </c>
      <c r="N455">
        <f t="shared" si="22"/>
        <v>788.47</v>
      </c>
      <c r="O455">
        <f t="shared" si="23"/>
        <v>-788.47</v>
      </c>
    </row>
    <row r="456" spans="1:15" x14ac:dyDescent="0.2">
      <c r="A456" t="s">
        <v>52</v>
      </c>
      <c r="B456">
        <v>60540</v>
      </c>
      <c r="C456" t="s">
        <v>28</v>
      </c>
      <c r="D456" t="s">
        <v>14</v>
      </c>
      <c r="E456" s="3">
        <v>44622</v>
      </c>
      <c r="F456" t="s">
        <v>46</v>
      </c>
      <c r="G456" s="2">
        <v>45043</v>
      </c>
      <c r="H456" t="s">
        <v>53</v>
      </c>
      <c r="I456" s="2">
        <v>45231</v>
      </c>
      <c r="J456">
        <v>726.82</v>
      </c>
      <c r="K456">
        <v>46.5</v>
      </c>
      <c r="L456" t="s">
        <v>16</v>
      </c>
      <c r="M456">
        <f t="shared" si="21"/>
        <v>0</v>
      </c>
      <c r="N456">
        <f t="shared" si="22"/>
        <v>726.82</v>
      </c>
      <c r="O456">
        <f t="shared" si="23"/>
        <v>-726.82</v>
      </c>
    </row>
    <row r="457" spans="1:15" x14ac:dyDescent="0.2">
      <c r="A457" t="s">
        <v>52</v>
      </c>
      <c r="B457">
        <v>60540</v>
      </c>
      <c r="C457" t="s">
        <v>28</v>
      </c>
      <c r="D457" t="s">
        <v>14</v>
      </c>
      <c r="E457" s="3">
        <v>44622</v>
      </c>
      <c r="F457" t="s">
        <v>46</v>
      </c>
      <c r="G457" s="2">
        <v>45043</v>
      </c>
      <c r="H457" t="s">
        <v>53</v>
      </c>
      <c r="I457" s="2">
        <v>45261</v>
      </c>
      <c r="J457">
        <v>628.64</v>
      </c>
      <c r="K457">
        <v>29.2</v>
      </c>
      <c r="L457" t="s">
        <v>19</v>
      </c>
      <c r="M457">
        <f t="shared" si="21"/>
        <v>0</v>
      </c>
      <c r="N457">
        <f t="shared" si="22"/>
        <v>628.64</v>
      </c>
      <c r="O457">
        <f t="shared" si="23"/>
        <v>-628.64</v>
      </c>
    </row>
    <row r="458" spans="1:15" x14ac:dyDescent="0.2">
      <c r="A458" t="s">
        <v>54</v>
      </c>
      <c r="B458">
        <v>60564</v>
      </c>
      <c r="C458" t="s">
        <v>28</v>
      </c>
      <c r="D458" t="s">
        <v>22</v>
      </c>
      <c r="E458" s="3">
        <v>44652</v>
      </c>
      <c r="F458" t="s">
        <v>36</v>
      </c>
      <c r="G458" s="2">
        <v>44898</v>
      </c>
      <c r="H458" t="s">
        <v>55</v>
      </c>
      <c r="I458" s="2">
        <v>44562</v>
      </c>
      <c r="J458">
        <v>804.91</v>
      </c>
      <c r="K458">
        <v>43</v>
      </c>
      <c r="L458" t="s">
        <v>16</v>
      </c>
      <c r="M458">
        <f t="shared" si="21"/>
        <v>804.91</v>
      </c>
      <c r="N458">
        <f t="shared" si="22"/>
        <v>0</v>
      </c>
      <c r="O458">
        <f t="shared" si="23"/>
        <v>804.91</v>
      </c>
    </row>
    <row r="459" spans="1:15" x14ac:dyDescent="0.2">
      <c r="A459" t="s">
        <v>54</v>
      </c>
      <c r="B459">
        <v>60564</v>
      </c>
      <c r="C459" t="s">
        <v>28</v>
      </c>
      <c r="D459" t="s">
        <v>22</v>
      </c>
      <c r="E459" s="3">
        <v>44652</v>
      </c>
      <c r="F459" t="s">
        <v>36</v>
      </c>
      <c r="G459" s="2">
        <v>44898</v>
      </c>
      <c r="H459" t="s">
        <v>55</v>
      </c>
      <c r="I459" s="2">
        <v>44593</v>
      </c>
      <c r="J459">
        <v>776.93</v>
      </c>
      <c r="K459">
        <v>26.4</v>
      </c>
      <c r="L459" t="s">
        <v>19</v>
      </c>
      <c r="M459">
        <f t="shared" si="21"/>
        <v>776.93</v>
      </c>
      <c r="N459">
        <f t="shared" si="22"/>
        <v>0</v>
      </c>
      <c r="O459">
        <f t="shared" si="23"/>
        <v>776.93</v>
      </c>
    </row>
    <row r="460" spans="1:15" x14ac:dyDescent="0.2">
      <c r="A460" t="s">
        <v>54</v>
      </c>
      <c r="B460">
        <v>60564</v>
      </c>
      <c r="C460" t="s">
        <v>28</v>
      </c>
      <c r="D460" t="s">
        <v>22</v>
      </c>
      <c r="E460" s="3">
        <v>44652</v>
      </c>
      <c r="F460" t="s">
        <v>36</v>
      </c>
      <c r="G460" s="2">
        <v>44898</v>
      </c>
      <c r="H460" t="s">
        <v>55</v>
      </c>
      <c r="I460" s="2">
        <v>44621</v>
      </c>
      <c r="J460">
        <v>668.77</v>
      </c>
      <c r="K460">
        <v>29.5</v>
      </c>
      <c r="L460" t="s">
        <v>19</v>
      </c>
      <c r="M460">
        <f t="shared" si="21"/>
        <v>668.77</v>
      </c>
      <c r="N460">
        <f t="shared" si="22"/>
        <v>0</v>
      </c>
      <c r="O460">
        <f t="shared" si="23"/>
        <v>668.77</v>
      </c>
    </row>
    <row r="461" spans="1:15" x14ac:dyDescent="0.2">
      <c r="A461" t="s">
        <v>54</v>
      </c>
      <c r="B461">
        <v>60564</v>
      </c>
      <c r="C461" t="s">
        <v>28</v>
      </c>
      <c r="D461" t="s">
        <v>22</v>
      </c>
      <c r="E461" s="3">
        <v>44652</v>
      </c>
      <c r="F461" t="s">
        <v>36</v>
      </c>
      <c r="G461" s="2">
        <v>44898</v>
      </c>
      <c r="H461" t="s">
        <v>55</v>
      </c>
      <c r="I461" s="2">
        <v>44652</v>
      </c>
      <c r="J461">
        <v>643.73</v>
      </c>
      <c r="K461">
        <v>50.8</v>
      </c>
      <c r="L461" t="s">
        <v>16</v>
      </c>
      <c r="M461">
        <f t="shared" si="21"/>
        <v>643.73</v>
      </c>
      <c r="N461">
        <f t="shared" si="22"/>
        <v>0</v>
      </c>
      <c r="O461">
        <f t="shared" si="23"/>
        <v>643.73</v>
      </c>
    </row>
    <row r="462" spans="1:15" x14ac:dyDescent="0.2">
      <c r="A462" t="s">
        <v>54</v>
      </c>
      <c r="B462">
        <v>60564</v>
      </c>
      <c r="C462" t="s">
        <v>28</v>
      </c>
      <c r="D462" t="s">
        <v>22</v>
      </c>
      <c r="E462" s="3">
        <v>44652</v>
      </c>
      <c r="F462" t="s">
        <v>36</v>
      </c>
      <c r="G462" s="2">
        <v>44898</v>
      </c>
      <c r="H462" t="s">
        <v>55</v>
      </c>
      <c r="I462" s="2">
        <v>44682</v>
      </c>
      <c r="J462">
        <v>666.88</v>
      </c>
      <c r="K462">
        <v>46.3</v>
      </c>
      <c r="L462" t="s">
        <v>16</v>
      </c>
      <c r="M462">
        <f t="shared" si="21"/>
        <v>666.88</v>
      </c>
      <c r="N462">
        <f t="shared" si="22"/>
        <v>0</v>
      </c>
      <c r="O462">
        <f t="shared" si="23"/>
        <v>666.88</v>
      </c>
    </row>
    <row r="463" spans="1:15" x14ac:dyDescent="0.2">
      <c r="A463" t="s">
        <v>54</v>
      </c>
      <c r="B463">
        <v>60564</v>
      </c>
      <c r="C463" t="s">
        <v>28</v>
      </c>
      <c r="D463" t="s">
        <v>22</v>
      </c>
      <c r="E463" s="3">
        <v>44652</v>
      </c>
      <c r="F463" t="s">
        <v>36</v>
      </c>
      <c r="G463" s="2">
        <v>44898</v>
      </c>
      <c r="H463" t="s">
        <v>55</v>
      </c>
      <c r="I463" s="2">
        <v>44713</v>
      </c>
      <c r="J463">
        <v>827.83</v>
      </c>
      <c r="K463">
        <v>61.1</v>
      </c>
      <c r="L463" t="s">
        <v>16</v>
      </c>
      <c r="M463">
        <f t="shared" si="21"/>
        <v>827.83</v>
      </c>
      <c r="N463">
        <f t="shared" si="22"/>
        <v>0</v>
      </c>
      <c r="O463">
        <f t="shared" si="23"/>
        <v>827.83</v>
      </c>
    </row>
    <row r="464" spans="1:15" x14ac:dyDescent="0.2">
      <c r="A464" t="s">
        <v>54</v>
      </c>
      <c r="B464">
        <v>60564</v>
      </c>
      <c r="C464" t="s">
        <v>28</v>
      </c>
      <c r="D464" t="s">
        <v>22</v>
      </c>
      <c r="E464" s="3">
        <v>44652</v>
      </c>
      <c r="F464" t="s">
        <v>36</v>
      </c>
      <c r="G464" s="2">
        <v>44898</v>
      </c>
      <c r="H464" t="s">
        <v>55</v>
      </c>
      <c r="I464" s="2">
        <v>44743</v>
      </c>
      <c r="J464">
        <v>792.09</v>
      </c>
      <c r="K464">
        <v>27.4</v>
      </c>
      <c r="L464" t="s">
        <v>19</v>
      </c>
      <c r="M464">
        <f t="shared" si="21"/>
        <v>792.09</v>
      </c>
      <c r="N464">
        <f t="shared" si="22"/>
        <v>0</v>
      </c>
      <c r="O464">
        <f t="shared" si="23"/>
        <v>792.09</v>
      </c>
    </row>
    <row r="465" spans="1:15" x14ac:dyDescent="0.2">
      <c r="A465" t="s">
        <v>54</v>
      </c>
      <c r="B465">
        <v>60564</v>
      </c>
      <c r="C465" t="s">
        <v>28</v>
      </c>
      <c r="D465" t="s">
        <v>22</v>
      </c>
      <c r="E465" s="3">
        <v>44652</v>
      </c>
      <c r="F465" t="s">
        <v>36</v>
      </c>
      <c r="G465" s="2">
        <v>44898</v>
      </c>
      <c r="H465" t="s">
        <v>55</v>
      </c>
      <c r="I465" s="2">
        <v>44774</v>
      </c>
      <c r="J465">
        <v>651.97</v>
      </c>
      <c r="K465">
        <v>54.2</v>
      </c>
      <c r="L465" t="s">
        <v>16</v>
      </c>
      <c r="M465">
        <f t="shared" si="21"/>
        <v>651.97</v>
      </c>
      <c r="N465">
        <f t="shared" si="22"/>
        <v>0</v>
      </c>
      <c r="O465">
        <f t="shared" si="23"/>
        <v>651.97</v>
      </c>
    </row>
    <row r="466" spans="1:15" x14ac:dyDescent="0.2">
      <c r="A466" t="s">
        <v>54</v>
      </c>
      <c r="B466">
        <v>60564</v>
      </c>
      <c r="C466" t="s">
        <v>28</v>
      </c>
      <c r="D466" t="s">
        <v>22</v>
      </c>
      <c r="E466" s="3">
        <v>44652</v>
      </c>
      <c r="F466" t="s">
        <v>36</v>
      </c>
      <c r="G466" s="2">
        <v>44898</v>
      </c>
      <c r="H466" t="s">
        <v>55</v>
      </c>
      <c r="I466" s="2">
        <v>44805</v>
      </c>
      <c r="J466">
        <v>864.59</v>
      </c>
      <c r="K466">
        <v>41.9</v>
      </c>
      <c r="L466" t="s">
        <v>16</v>
      </c>
      <c r="M466">
        <f t="shared" si="21"/>
        <v>864.59</v>
      </c>
      <c r="N466">
        <f t="shared" si="22"/>
        <v>0</v>
      </c>
      <c r="O466">
        <f t="shared" si="23"/>
        <v>864.59</v>
      </c>
    </row>
    <row r="467" spans="1:15" x14ac:dyDescent="0.2">
      <c r="A467" t="s">
        <v>54</v>
      </c>
      <c r="B467">
        <v>60564</v>
      </c>
      <c r="C467" t="s">
        <v>28</v>
      </c>
      <c r="D467" t="s">
        <v>22</v>
      </c>
      <c r="E467" s="3">
        <v>44652</v>
      </c>
      <c r="F467" t="s">
        <v>36</v>
      </c>
      <c r="G467" s="2">
        <v>44898</v>
      </c>
      <c r="H467" t="s">
        <v>55</v>
      </c>
      <c r="I467" s="2">
        <v>44835</v>
      </c>
      <c r="J467">
        <v>937.43</v>
      </c>
      <c r="K467">
        <v>74.099999999999994</v>
      </c>
      <c r="L467" t="s">
        <v>20</v>
      </c>
      <c r="M467">
        <f t="shared" si="21"/>
        <v>937.43</v>
      </c>
      <c r="N467">
        <f t="shared" si="22"/>
        <v>0</v>
      </c>
      <c r="O467">
        <f t="shared" si="23"/>
        <v>937.43</v>
      </c>
    </row>
    <row r="468" spans="1:15" x14ac:dyDescent="0.2">
      <c r="A468" t="s">
        <v>54</v>
      </c>
      <c r="B468">
        <v>60564</v>
      </c>
      <c r="C468" t="s">
        <v>28</v>
      </c>
      <c r="D468" t="s">
        <v>22</v>
      </c>
      <c r="E468" s="3">
        <v>44652</v>
      </c>
      <c r="F468" t="s">
        <v>36</v>
      </c>
      <c r="G468" s="2">
        <v>44898</v>
      </c>
      <c r="H468" t="s">
        <v>55</v>
      </c>
      <c r="I468" s="2">
        <v>44866</v>
      </c>
      <c r="J468">
        <v>740.15</v>
      </c>
      <c r="K468">
        <v>42.6</v>
      </c>
      <c r="L468" t="s">
        <v>16</v>
      </c>
      <c r="M468">
        <f t="shared" si="21"/>
        <v>740.15</v>
      </c>
      <c r="N468">
        <f t="shared" si="22"/>
        <v>0</v>
      </c>
      <c r="O468">
        <f t="shared" si="23"/>
        <v>740.15</v>
      </c>
    </row>
    <row r="469" spans="1:15" x14ac:dyDescent="0.2">
      <c r="A469" t="s">
        <v>54</v>
      </c>
      <c r="B469">
        <v>60564</v>
      </c>
      <c r="C469" t="s">
        <v>28</v>
      </c>
      <c r="D469" t="s">
        <v>22</v>
      </c>
      <c r="E469" s="3">
        <v>44652</v>
      </c>
      <c r="F469" t="s">
        <v>36</v>
      </c>
      <c r="G469" s="2">
        <v>44898</v>
      </c>
      <c r="H469" t="s">
        <v>55</v>
      </c>
      <c r="I469" s="2">
        <v>44896</v>
      </c>
      <c r="J469">
        <v>625.9</v>
      </c>
      <c r="K469">
        <v>52.3</v>
      </c>
      <c r="L469" t="s">
        <v>16</v>
      </c>
      <c r="M469">
        <f t="shared" si="21"/>
        <v>625.9</v>
      </c>
      <c r="N469">
        <f t="shared" si="22"/>
        <v>0</v>
      </c>
      <c r="O469">
        <f t="shared" si="23"/>
        <v>625.9</v>
      </c>
    </row>
    <row r="470" spans="1:15" x14ac:dyDescent="0.2">
      <c r="A470" t="s">
        <v>54</v>
      </c>
      <c r="B470">
        <v>60564</v>
      </c>
      <c r="C470" t="s">
        <v>28</v>
      </c>
      <c r="D470" t="s">
        <v>22</v>
      </c>
      <c r="E470" s="3">
        <v>44652</v>
      </c>
      <c r="F470" t="s">
        <v>36</v>
      </c>
      <c r="G470" s="2">
        <v>44898</v>
      </c>
      <c r="H470" t="s">
        <v>55</v>
      </c>
      <c r="I470" s="2">
        <v>44927</v>
      </c>
      <c r="J470">
        <v>629.09</v>
      </c>
      <c r="K470">
        <v>76.2</v>
      </c>
      <c r="L470" t="s">
        <v>20</v>
      </c>
      <c r="M470">
        <f t="shared" si="21"/>
        <v>0</v>
      </c>
      <c r="N470">
        <f t="shared" si="22"/>
        <v>629.09</v>
      </c>
      <c r="O470">
        <f t="shared" si="23"/>
        <v>-629.09</v>
      </c>
    </row>
    <row r="471" spans="1:15" x14ac:dyDescent="0.2">
      <c r="A471" t="s">
        <v>54</v>
      </c>
      <c r="B471">
        <v>60564</v>
      </c>
      <c r="C471" t="s">
        <v>28</v>
      </c>
      <c r="D471" t="s">
        <v>22</v>
      </c>
      <c r="E471" s="3">
        <v>44652</v>
      </c>
      <c r="F471" t="s">
        <v>36</v>
      </c>
      <c r="G471" s="2">
        <v>44898</v>
      </c>
      <c r="H471" t="s">
        <v>55</v>
      </c>
      <c r="I471" s="2">
        <v>44958</v>
      </c>
      <c r="J471">
        <v>785.45</v>
      </c>
      <c r="K471">
        <v>73.7</v>
      </c>
      <c r="L471" t="s">
        <v>20</v>
      </c>
      <c r="M471">
        <f t="shared" si="21"/>
        <v>0</v>
      </c>
      <c r="N471">
        <f t="shared" si="22"/>
        <v>785.45</v>
      </c>
      <c r="O471">
        <f t="shared" si="23"/>
        <v>-785.45</v>
      </c>
    </row>
    <row r="472" spans="1:15" x14ac:dyDescent="0.2">
      <c r="A472" t="s">
        <v>54</v>
      </c>
      <c r="B472">
        <v>60564</v>
      </c>
      <c r="C472" t="s">
        <v>28</v>
      </c>
      <c r="D472" t="s">
        <v>22</v>
      </c>
      <c r="E472" s="3">
        <v>44652</v>
      </c>
      <c r="F472" t="s">
        <v>36</v>
      </c>
      <c r="G472" s="2">
        <v>44898</v>
      </c>
      <c r="H472" t="s">
        <v>55</v>
      </c>
      <c r="I472" s="2">
        <v>44986</v>
      </c>
      <c r="J472">
        <v>754.85</v>
      </c>
      <c r="K472">
        <v>52.8</v>
      </c>
      <c r="L472" t="s">
        <v>16</v>
      </c>
      <c r="M472">
        <f t="shared" si="21"/>
        <v>0</v>
      </c>
      <c r="N472">
        <f t="shared" si="22"/>
        <v>754.85</v>
      </c>
      <c r="O472">
        <f t="shared" si="23"/>
        <v>-754.85</v>
      </c>
    </row>
    <row r="473" spans="1:15" x14ac:dyDescent="0.2">
      <c r="A473" t="s">
        <v>54</v>
      </c>
      <c r="B473">
        <v>60564</v>
      </c>
      <c r="C473" t="s">
        <v>28</v>
      </c>
      <c r="D473" t="s">
        <v>22</v>
      </c>
      <c r="E473" s="3">
        <v>44652</v>
      </c>
      <c r="F473" t="s">
        <v>36</v>
      </c>
      <c r="G473" s="2">
        <v>44898</v>
      </c>
      <c r="H473" t="s">
        <v>55</v>
      </c>
      <c r="I473" s="2">
        <v>45017</v>
      </c>
      <c r="J473">
        <v>607.76</v>
      </c>
      <c r="K473">
        <v>103.1</v>
      </c>
      <c r="L473" t="s">
        <v>20</v>
      </c>
      <c r="M473">
        <f t="shared" si="21"/>
        <v>0</v>
      </c>
      <c r="N473">
        <f t="shared" si="22"/>
        <v>607.76</v>
      </c>
      <c r="O473">
        <f t="shared" si="23"/>
        <v>-607.76</v>
      </c>
    </row>
    <row r="474" spans="1:15" x14ac:dyDescent="0.2">
      <c r="A474" t="s">
        <v>54</v>
      </c>
      <c r="B474">
        <v>60564</v>
      </c>
      <c r="C474" t="s">
        <v>28</v>
      </c>
      <c r="D474" t="s">
        <v>22</v>
      </c>
      <c r="E474" s="3">
        <v>44652</v>
      </c>
      <c r="F474" t="s">
        <v>36</v>
      </c>
      <c r="G474" s="2">
        <v>44898</v>
      </c>
      <c r="H474" t="s">
        <v>55</v>
      </c>
      <c r="I474" s="2">
        <v>45047</v>
      </c>
      <c r="J474">
        <v>852.12</v>
      </c>
      <c r="K474">
        <v>40.6</v>
      </c>
      <c r="L474" t="s">
        <v>16</v>
      </c>
      <c r="M474">
        <f t="shared" si="21"/>
        <v>0</v>
      </c>
      <c r="N474">
        <f t="shared" si="22"/>
        <v>852.12</v>
      </c>
      <c r="O474">
        <f t="shared" si="23"/>
        <v>-852.12</v>
      </c>
    </row>
    <row r="475" spans="1:15" x14ac:dyDescent="0.2">
      <c r="A475" t="s">
        <v>54</v>
      </c>
      <c r="B475">
        <v>60564</v>
      </c>
      <c r="C475" t="s">
        <v>28</v>
      </c>
      <c r="D475" t="s">
        <v>22</v>
      </c>
      <c r="E475" s="3">
        <v>44652</v>
      </c>
      <c r="F475" t="s">
        <v>36</v>
      </c>
      <c r="G475" s="2">
        <v>44898</v>
      </c>
      <c r="H475" t="s">
        <v>55</v>
      </c>
      <c r="I475" s="2">
        <v>45078</v>
      </c>
      <c r="J475">
        <v>834.83</v>
      </c>
      <c r="K475">
        <v>76</v>
      </c>
      <c r="L475" t="s">
        <v>20</v>
      </c>
      <c r="M475">
        <f t="shared" si="21"/>
        <v>0</v>
      </c>
      <c r="N475">
        <f t="shared" si="22"/>
        <v>834.83</v>
      </c>
      <c r="O475">
        <f t="shared" si="23"/>
        <v>-834.83</v>
      </c>
    </row>
    <row r="476" spans="1:15" x14ac:dyDescent="0.2">
      <c r="A476" t="s">
        <v>54</v>
      </c>
      <c r="B476">
        <v>60564</v>
      </c>
      <c r="C476" t="s">
        <v>28</v>
      </c>
      <c r="D476" t="s">
        <v>22</v>
      </c>
      <c r="E476" s="3">
        <v>44652</v>
      </c>
      <c r="F476" t="s">
        <v>36</v>
      </c>
      <c r="G476" s="2">
        <v>44898</v>
      </c>
      <c r="H476" t="s">
        <v>55</v>
      </c>
      <c r="I476" s="2">
        <v>45108</v>
      </c>
      <c r="J476">
        <v>626.70000000000005</v>
      </c>
      <c r="K476">
        <v>38.9</v>
      </c>
      <c r="L476" t="s">
        <v>19</v>
      </c>
      <c r="M476">
        <f t="shared" si="21"/>
        <v>0</v>
      </c>
      <c r="N476">
        <f t="shared" si="22"/>
        <v>626.70000000000005</v>
      </c>
      <c r="O476">
        <f t="shared" si="23"/>
        <v>-626.70000000000005</v>
      </c>
    </row>
    <row r="477" spans="1:15" x14ac:dyDescent="0.2">
      <c r="A477" t="s">
        <v>54</v>
      </c>
      <c r="B477">
        <v>60564</v>
      </c>
      <c r="C477" t="s">
        <v>28</v>
      </c>
      <c r="D477" t="s">
        <v>22</v>
      </c>
      <c r="E477" s="3">
        <v>44652</v>
      </c>
      <c r="F477" t="s">
        <v>36</v>
      </c>
      <c r="G477" s="2">
        <v>44898</v>
      </c>
      <c r="H477" t="s">
        <v>55</v>
      </c>
      <c r="I477" s="2">
        <v>45139</v>
      </c>
      <c r="J477">
        <v>625.66999999999996</v>
      </c>
      <c r="K477">
        <v>80</v>
      </c>
      <c r="L477" t="s">
        <v>20</v>
      </c>
      <c r="M477">
        <f t="shared" si="21"/>
        <v>0</v>
      </c>
      <c r="N477">
        <f t="shared" si="22"/>
        <v>625.66999999999996</v>
      </c>
      <c r="O477">
        <f t="shared" si="23"/>
        <v>-625.66999999999996</v>
      </c>
    </row>
    <row r="478" spans="1:15" x14ac:dyDescent="0.2">
      <c r="A478" t="s">
        <v>54</v>
      </c>
      <c r="B478">
        <v>60564</v>
      </c>
      <c r="C478" t="s">
        <v>28</v>
      </c>
      <c r="D478" t="s">
        <v>22</v>
      </c>
      <c r="E478" s="3">
        <v>44652</v>
      </c>
      <c r="F478" t="s">
        <v>36</v>
      </c>
      <c r="G478" s="2">
        <v>44898</v>
      </c>
      <c r="H478" t="s">
        <v>55</v>
      </c>
      <c r="I478" s="2">
        <v>45170</v>
      </c>
      <c r="J478">
        <v>640.72</v>
      </c>
      <c r="K478">
        <v>84.9</v>
      </c>
      <c r="L478" t="s">
        <v>20</v>
      </c>
      <c r="M478">
        <f t="shared" si="21"/>
        <v>0</v>
      </c>
      <c r="N478">
        <f t="shared" si="22"/>
        <v>640.72</v>
      </c>
      <c r="O478">
        <f t="shared" si="23"/>
        <v>-640.72</v>
      </c>
    </row>
    <row r="479" spans="1:15" x14ac:dyDescent="0.2">
      <c r="A479" t="s">
        <v>54</v>
      </c>
      <c r="B479">
        <v>60564</v>
      </c>
      <c r="C479" t="s">
        <v>28</v>
      </c>
      <c r="D479" t="s">
        <v>22</v>
      </c>
      <c r="E479" s="3">
        <v>44652</v>
      </c>
      <c r="F479" t="s">
        <v>36</v>
      </c>
      <c r="G479" s="2">
        <v>44898</v>
      </c>
      <c r="H479" t="s">
        <v>55</v>
      </c>
      <c r="I479" s="2">
        <v>45200</v>
      </c>
      <c r="J479">
        <v>649.27</v>
      </c>
      <c r="K479">
        <v>80.8</v>
      </c>
      <c r="L479" t="s">
        <v>20</v>
      </c>
      <c r="M479">
        <f t="shared" si="21"/>
        <v>0</v>
      </c>
      <c r="N479">
        <f t="shared" si="22"/>
        <v>649.27</v>
      </c>
      <c r="O479">
        <f t="shared" si="23"/>
        <v>-649.27</v>
      </c>
    </row>
    <row r="480" spans="1:15" x14ac:dyDescent="0.2">
      <c r="A480" t="s">
        <v>54</v>
      </c>
      <c r="B480">
        <v>60564</v>
      </c>
      <c r="C480" t="s">
        <v>28</v>
      </c>
      <c r="D480" t="s">
        <v>22</v>
      </c>
      <c r="E480" s="3">
        <v>44652</v>
      </c>
      <c r="F480" t="s">
        <v>36</v>
      </c>
      <c r="G480" s="2">
        <v>44898</v>
      </c>
      <c r="H480" t="s">
        <v>55</v>
      </c>
      <c r="I480" s="2">
        <v>45231</v>
      </c>
      <c r="J480">
        <v>795.05</v>
      </c>
      <c r="K480">
        <v>46.5</v>
      </c>
      <c r="L480" t="s">
        <v>16</v>
      </c>
      <c r="M480">
        <f t="shared" si="21"/>
        <v>0</v>
      </c>
      <c r="N480">
        <f t="shared" si="22"/>
        <v>795.05</v>
      </c>
      <c r="O480">
        <f t="shared" si="23"/>
        <v>-795.05</v>
      </c>
    </row>
    <row r="481" spans="1:15" x14ac:dyDescent="0.2">
      <c r="A481" t="s">
        <v>54</v>
      </c>
      <c r="B481">
        <v>60564</v>
      </c>
      <c r="C481" t="s">
        <v>28</v>
      </c>
      <c r="D481" t="s">
        <v>22</v>
      </c>
      <c r="E481" s="3">
        <v>44652</v>
      </c>
      <c r="F481" t="s">
        <v>36</v>
      </c>
      <c r="G481" s="2">
        <v>44898</v>
      </c>
      <c r="H481" t="s">
        <v>55</v>
      </c>
      <c r="I481" s="2">
        <v>45261</v>
      </c>
      <c r="J481">
        <v>742.53</v>
      </c>
      <c r="K481">
        <v>29.2</v>
      </c>
      <c r="L481" t="s">
        <v>19</v>
      </c>
      <c r="M481">
        <f t="shared" si="21"/>
        <v>0</v>
      </c>
      <c r="N481">
        <f t="shared" si="22"/>
        <v>742.53</v>
      </c>
      <c r="O481">
        <f t="shared" si="23"/>
        <v>-742.53</v>
      </c>
    </row>
    <row r="482" spans="1:15" x14ac:dyDescent="0.2">
      <c r="A482" t="s">
        <v>56</v>
      </c>
      <c r="B482">
        <v>60540</v>
      </c>
      <c r="C482" t="s">
        <v>24</v>
      </c>
      <c r="D482" t="s">
        <v>18</v>
      </c>
      <c r="E482" s="3">
        <v>44576</v>
      </c>
      <c r="F482" t="s">
        <v>46</v>
      </c>
      <c r="G482" s="2">
        <v>45056</v>
      </c>
      <c r="H482" t="s">
        <v>57</v>
      </c>
      <c r="I482" s="2">
        <v>44562</v>
      </c>
      <c r="J482">
        <v>758</v>
      </c>
      <c r="K482">
        <v>43</v>
      </c>
      <c r="L482" t="s">
        <v>16</v>
      </c>
      <c r="M482">
        <f t="shared" si="21"/>
        <v>758</v>
      </c>
      <c r="N482">
        <f t="shared" si="22"/>
        <v>0</v>
      </c>
      <c r="O482">
        <f t="shared" si="23"/>
        <v>758</v>
      </c>
    </row>
    <row r="483" spans="1:15" x14ac:dyDescent="0.2">
      <c r="A483" t="s">
        <v>58</v>
      </c>
      <c r="B483">
        <v>60540</v>
      </c>
      <c r="C483" t="s">
        <v>24</v>
      </c>
      <c r="D483" t="s">
        <v>18</v>
      </c>
      <c r="E483" s="3">
        <v>44600</v>
      </c>
      <c r="F483" t="s">
        <v>39</v>
      </c>
      <c r="G483" s="2">
        <v>44816</v>
      </c>
      <c r="H483" t="s">
        <v>59</v>
      </c>
      <c r="I483" s="2">
        <v>44562</v>
      </c>
      <c r="J483">
        <v>737.27</v>
      </c>
      <c r="K483">
        <v>43</v>
      </c>
      <c r="L483" t="s">
        <v>16</v>
      </c>
      <c r="M483">
        <f t="shared" si="21"/>
        <v>737.27</v>
      </c>
      <c r="N483">
        <f t="shared" si="22"/>
        <v>0</v>
      </c>
      <c r="O483">
        <f t="shared" si="23"/>
        <v>737.27</v>
      </c>
    </row>
    <row r="484" spans="1:15" x14ac:dyDescent="0.2">
      <c r="A484" t="s">
        <v>60</v>
      </c>
      <c r="B484">
        <v>60563</v>
      </c>
      <c r="C484" t="s">
        <v>24</v>
      </c>
      <c r="D484" t="s">
        <v>14</v>
      </c>
      <c r="E484" s="3">
        <v>44884</v>
      </c>
      <c r="F484" t="s">
        <v>39</v>
      </c>
      <c r="G484" s="2">
        <v>44948</v>
      </c>
      <c r="H484" t="s">
        <v>61</v>
      </c>
      <c r="I484" s="2">
        <v>44562</v>
      </c>
      <c r="J484">
        <v>890.23</v>
      </c>
      <c r="K484">
        <v>43</v>
      </c>
      <c r="L484" t="s">
        <v>16</v>
      </c>
      <c r="M484">
        <f t="shared" si="21"/>
        <v>890.23</v>
      </c>
      <c r="N484">
        <f t="shared" si="22"/>
        <v>0</v>
      </c>
      <c r="O484">
        <f t="shared" si="23"/>
        <v>890.23</v>
      </c>
    </row>
    <row r="485" spans="1:15" x14ac:dyDescent="0.2">
      <c r="A485" t="s">
        <v>56</v>
      </c>
      <c r="B485">
        <v>60540</v>
      </c>
      <c r="C485" t="s">
        <v>24</v>
      </c>
      <c r="D485" t="s">
        <v>18</v>
      </c>
      <c r="E485" s="3">
        <v>44576</v>
      </c>
      <c r="F485" t="s">
        <v>46</v>
      </c>
      <c r="G485" s="2">
        <v>45056</v>
      </c>
      <c r="H485" t="s">
        <v>57</v>
      </c>
      <c r="I485" s="2">
        <v>44593</v>
      </c>
      <c r="J485">
        <v>813.92</v>
      </c>
      <c r="K485">
        <v>26.4</v>
      </c>
      <c r="L485" t="s">
        <v>19</v>
      </c>
      <c r="M485">
        <f t="shared" si="21"/>
        <v>813.92</v>
      </c>
      <c r="N485">
        <f t="shared" si="22"/>
        <v>0</v>
      </c>
      <c r="O485">
        <f t="shared" si="23"/>
        <v>813.92</v>
      </c>
    </row>
    <row r="486" spans="1:15" x14ac:dyDescent="0.2">
      <c r="A486" t="s">
        <v>58</v>
      </c>
      <c r="B486">
        <v>60540</v>
      </c>
      <c r="C486" t="s">
        <v>24</v>
      </c>
      <c r="D486" t="s">
        <v>18</v>
      </c>
      <c r="E486" s="3">
        <v>44600</v>
      </c>
      <c r="F486" t="s">
        <v>39</v>
      </c>
      <c r="G486" s="2">
        <v>44816</v>
      </c>
      <c r="H486" t="s">
        <v>59</v>
      </c>
      <c r="I486" s="2">
        <v>44593</v>
      </c>
      <c r="J486">
        <v>925.17</v>
      </c>
      <c r="K486">
        <v>26.4</v>
      </c>
      <c r="L486" t="s">
        <v>19</v>
      </c>
      <c r="M486">
        <f t="shared" si="21"/>
        <v>925.17</v>
      </c>
      <c r="N486">
        <f t="shared" si="22"/>
        <v>0</v>
      </c>
      <c r="O486">
        <f t="shared" si="23"/>
        <v>925.17</v>
      </c>
    </row>
    <row r="487" spans="1:15" x14ac:dyDescent="0.2">
      <c r="A487" t="s">
        <v>60</v>
      </c>
      <c r="B487">
        <v>60563</v>
      </c>
      <c r="C487" t="s">
        <v>24</v>
      </c>
      <c r="D487" t="s">
        <v>14</v>
      </c>
      <c r="E487" s="3">
        <v>44884</v>
      </c>
      <c r="F487" t="s">
        <v>39</v>
      </c>
      <c r="G487" s="2">
        <v>44948</v>
      </c>
      <c r="H487" t="s">
        <v>61</v>
      </c>
      <c r="I487" s="2">
        <v>44593</v>
      </c>
      <c r="J487">
        <v>598.80999999999995</v>
      </c>
      <c r="K487">
        <v>26.4</v>
      </c>
      <c r="L487" t="s">
        <v>19</v>
      </c>
      <c r="M487">
        <f t="shared" si="21"/>
        <v>598.80999999999995</v>
      </c>
      <c r="N487">
        <f t="shared" si="22"/>
        <v>0</v>
      </c>
      <c r="O487">
        <f t="shared" si="23"/>
        <v>598.80999999999995</v>
      </c>
    </row>
    <row r="488" spans="1:15" x14ac:dyDescent="0.2">
      <c r="A488" t="s">
        <v>56</v>
      </c>
      <c r="B488">
        <v>60540</v>
      </c>
      <c r="C488" t="s">
        <v>24</v>
      </c>
      <c r="D488" t="s">
        <v>18</v>
      </c>
      <c r="E488" s="3">
        <v>44576</v>
      </c>
      <c r="F488" t="s">
        <v>46</v>
      </c>
      <c r="G488" s="2">
        <v>45056</v>
      </c>
      <c r="H488" t="s">
        <v>57</v>
      </c>
      <c r="I488" s="2">
        <v>44621</v>
      </c>
      <c r="J488">
        <v>800.18</v>
      </c>
      <c r="K488">
        <v>29.5</v>
      </c>
      <c r="L488" t="s">
        <v>19</v>
      </c>
      <c r="M488">
        <f t="shared" si="21"/>
        <v>800.18</v>
      </c>
      <c r="N488">
        <f t="shared" si="22"/>
        <v>0</v>
      </c>
      <c r="O488">
        <f t="shared" si="23"/>
        <v>800.18</v>
      </c>
    </row>
    <row r="489" spans="1:15" x14ac:dyDescent="0.2">
      <c r="A489" t="s">
        <v>58</v>
      </c>
      <c r="B489">
        <v>60540</v>
      </c>
      <c r="C489" t="s">
        <v>24</v>
      </c>
      <c r="D489" t="s">
        <v>18</v>
      </c>
      <c r="E489" s="3">
        <v>44600</v>
      </c>
      <c r="F489" t="s">
        <v>39</v>
      </c>
      <c r="G489" s="2">
        <v>44816</v>
      </c>
      <c r="H489" t="s">
        <v>59</v>
      </c>
      <c r="I489" s="2">
        <v>44621</v>
      </c>
      <c r="J489">
        <v>763.3</v>
      </c>
      <c r="K489">
        <v>29.5</v>
      </c>
      <c r="L489" t="s">
        <v>19</v>
      </c>
      <c r="M489">
        <f t="shared" si="21"/>
        <v>763.3</v>
      </c>
      <c r="N489">
        <f t="shared" si="22"/>
        <v>0</v>
      </c>
      <c r="O489">
        <f t="shared" si="23"/>
        <v>763.3</v>
      </c>
    </row>
    <row r="490" spans="1:15" x14ac:dyDescent="0.2">
      <c r="A490" t="s">
        <v>60</v>
      </c>
      <c r="B490">
        <v>60563</v>
      </c>
      <c r="C490" t="s">
        <v>24</v>
      </c>
      <c r="D490" t="s">
        <v>14</v>
      </c>
      <c r="E490" s="3">
        <v>44884</v>
      </c>
      <c r="F490" t="s">
        <v>39</v>
      </c>
      <c r="G490" s="2">
        <v>44948</v>
      </c>
      <c r="H490" t="s">
        <v>61</v>
      </c>
      <c r="I490" s="2">
        <v>44621</v>
      </c>
      <c r="J490">
        <v>901.89</v>
      </c>
      <c r="K490">
        <v>29.5</v>
      </c>
      <c r="L490" t="s">
        <v>19</v>
      </c>
      <c r="M490">
        <f t="shared" si="21"/>
        <v>901.89</v>
      </c>
      <c r="N490">
        <f t="shared" si="22"/>
        <v>0</v>
      </c>
      <c r="O490">
        <f t="shared" si="23"/>
        <v>901.89</v>
      </c>
    </row>
    <row r="491" spans="1:15" x14ac:dyDescent="0.2">
      <c r="A491" t="s">
        <v>56</v>
      </c>
      <c r="B491">
        <v>60540</v>
      </c>
      <c r="C491" t="s">
        <v>24</v>
      </c>
      <c r="D491" t="s">
        <v>18</v>
      </c>
      <c r="E491" s="3">
        <v>44576</v>
      </c>
      <c r="F491" t="s">
        <v>46</v>
      </c>
      <c r="G491" s="2">
        <v>45056</v>
      </c>
      <c r="H491" t="s">
        <v>57</v>
      </c>
      <c r="I491" s="2">
        <v>44652</v>
      </c>
      <c r="J491">
        <v>875.59</v>
      </c>
      <c r="K491">
        <v>50.8</v>
      </c>
      <c r="L491" t="s">
        <v>16</v>
      </c>
      <c r="M491">
        <f t="shared" si="21"/>
        <v>875.59</v>
      </c>
      <c r="N491">
        <f t="shared" si="22"/>
        <v>0</v>
      </c>
      <c r="O491">
        <f t="shared" si="23"/>
        <v>875.59</v>
      </c>
    </row>
    <row r="492" spans="1:15" x14ac:dyDescent="0.2">
      <c r="A492" t="s">
        <v>58</v>
      </c>
      <c r="B492">
        <v>60540</v>
      </c>
      <c r="C492" t="s">
        <v>24</v>
      </c>
      <c r="D492" t="s">
        <v>18</v>
      </c>
      <c r="E492" s="3">
        <v>44600</v>
      </c>
      <c r="F492" t="s">
        <v>39</v>
      </c>
      <c r="G492" s="2">
        <v>44816</v>
      </c>
      <c r="H492" t="s">
        <v>59</v>
      </c>
      <c r="I492" s="2">
        <v>44652</v>
      </c>
      <c r="J492">
        <v>847.24</v>
      </c>
      <c r="K492">
        <v>50.8</v>
      </c>
      <c r="L492" t="s">
        <v>16</v>
      </c>
      <c r="M492">
        <f t="shared" si="21"/>
        <v>847.24</v>
      </c>
      <c r="N492">
        <f t="shared" si="22"/>
        <v>0</v>
      </c>
      <c r="O492">
        <f t="shared" si="23"/>
        <v>847.24</v>
      </c>
    </row>
    <row r="493" spans="1:15" x14ac:dyDescent="0.2">
      <c r="A493" t="s">
        <v>60</v>
      </c>
      <c r="B493">
        <v>60563</v>
      </c>
      <c r="C493" t="s">
        <v>24</v>
      </c>
      <c r="D493" t="s">
        <v>14</v>
      </c>
      <c r="E493" s="3">
        <v>44884</v>
      </c>
      <c r="F493" t="s">
        <v>39</v>
      </c>
      <c r="G493" s="2">
        <v>44948</v>
      </c>
      <c r="H493" t="s">
        <v>61</v>
      </c>
      <c r="I493" s="2">
        <v>44652</v>
      </c>
      <c r="J493">
        <v>794.99</v>
      </c>
      <c r="K493">
        <v>50.8</v>
      </c>
      <c r="L493" t="s">
        <v>16</v>
      </c>
      <c r="M493">
        <f t="shared" si="21"/>
        <v>794.99</v>
      </c>
      <c r="N493">
        <f t="shared" si="22"/>
        <v>0</v>
      </c>
      <c r="O493">
        <f t="shared" si="23"/>
        <v>794.99</v>
      </c>
    </row>
    <row r="494" spans="1:15" x14ac:dyDescent="0.2">
      <c r="A494" t="s">
        <v>56</v>
      </c>
      <c r="B494">
        <v>60540</v>
      </c>
      <c r="C494" t="s">
        <v>24</v>
      </c>
      <c r="D494" t="s">
        <v>18</v>
      </c>
      <c r="E494" s="3">
        <v>44576</v>
      </c>
      <c r="F494" t="s">
        <v>46</v>
      </c>
      <c r="G494" s="2">
        <v>45056</v>
      </c>
      <c r="H494" t="s">
        <v>57</v>
      </c>
      <c r="I494" s="2">
        <v>44682</v>
      </c>
      <c r="J494">
        <v>993.35</v>
      </c>
      <c r="K494">
        <v>46.3</v>
      </c>
      <c r="L494" t="s">
        <v>16</v>
      </c>
      <c r="M494">
        <f t="shared" si="21"/>
        <v>993.35</v>
      </c>
      <c r="N494">
        <f t="shared" si="22"/>
        <v>0</v>
      </c>
      <c r="O494">
        <f t="shared" si="23"/>
        <v>993.35</v>
      </c>
    </row>
    <row r="495" spans="1:15" x14ac:dyDescent="0.2">
      <c r="A495" t="s">
        <v>58</v>
      </c>
      <c r="B495">
        <v>60540</v>
      </c>
      <c r="C495" t="s">
        <v>24</v>
      </c>
      <c r="D495" t="s">
        <v>18</v>
      </c>
      <c r="E495" s="3">
        <v>44600</v>
      </c>
      <c r="F495" t="s">
        <v>39</v>
      </c>
      <c r="G495" s="2">
        <v>44816</v>
      </c>
      <c r="H495" t="s">
        <v>59</v>
      </c>
      <c r="I495" s="2">
        <v>44682</v>
      </c>
      <c r="J495">
        <v>816.64</v>
      </c>
      <c r="K495">
        <v>46.3</v>
      </c>
      <c r="L495" t="s">
        <v>16</v>
      </c>
      <c r="M495">
        <f t="shared" si="21"/>
        <v>816.64</v>
      </c>
      <c r="N495">
        <f t="shared" si="22"/>
        <v>0</v>
      </c>
      <c r="O495">
        <f t="shared" si="23"/>
        <v>816.64</v>
      </c>
    </row>
    <row r="496" spans="1:15" x14ac:dyDescent="0.2">
      <c r="A496" t="s">
        <v>60</v>
      </c>
      <c r="B496">
        <v>60563</v>
      </c>
      <c r="C496" t="s">
        <v>24</v>
      </c>
      <c r="D496" t="s">
        <v>14</v>
      </c>
      <c r="E496" s="3">
        <v>44884</v>
      </c>
      <c r="F496" t="s">
        <v>39</v>
      </c>
      <c r="G496" s="2">
        <v>44948</v>
      </c>
      <c r="H496" t="s">
        <v>61</v>
      </c>
      <c r="I496" s="2">
        <v>44682</v>
      </c>
      <c r="J496">
        <v>547.07000000000005</v>
      </c>
      <c r="K496">
        <v>46.3</v>
      </c>
      <c r="L496" t="s">
        <v>16</v>
      </c>
      <c r="M496">
        <f t="shared" si="21"/>
        <v>547.07000000000005</v>
      </c>
      <c r="N496">
        <f t="shared" si="22"/>
        <v>0</v>
      </c>
      <c r="O496">
        <f t="shared" si="23"/>
        <v>547.07000000000005</v>
      </c>
    </row>
    <row r="497" spans="1:15" x14ac:dyDescent="0.2">
      <c r="A497" t="s">
        <v>56</v>
      </c>
      <c r="B497">
        <v>60540</v>
      </c>
      <c r="C497" t="s">
        <v>24</v>
      </c>
      <c r="D497" t="s">
        <v>18</v>
      </c>
      <c r="E497" s="3">
        <v>44576</v>
      </c>
      <c r="F497" t="s">
        <v>46</v>
      </c>
      <c r="G497" s="2">
        <v>45056</v>
      </c>
      <c r="H497" t="s">
        <v>57</v>
      </c>
      <c r="I497" s="2">
        <v>44713</v>
      </c>
      <c r="J497">
        <v>841.39</v>
      </c>
      <c r="K497">
        <v>61.1</v>
      </c>
      <c r="L497" t="s">
        <v>16</v>
      </c>
      <c r="M497">
        <f t="shared" si="21"/>
        <v>841.39</v>
      </c>
      <c r="N497">
        <f t="shared" si="22"/>
        <v>0</v>
      </c>
      <c r="O497">
        <f t="shared" si="23"/>
        <v>841.39</v>
      </c>
    </row>
    <row r="498" spans="1:15" x14ac:dyDescent="0.2">
      <c r="A498" t="s">
        <v>58</v>
      </c>
      <c r="B498">
        <v>60540</v>
      </c>
      <c r="C498" t="s">
        <v>24</v>
      </c>
      <c r="D498" t="s">
        <v>18</v>
      </c>
      <c r="E498" s="3">
        <v>44600</v>
      </c>
      <c r="F498" t="s">
        <v>39</v>
      </c>
      <c r="G498" s="2">
        <v>44816</v>
      </c>
      <c r="H498" t="s">
        <v>59</v>
      </c>
      <c r="I498" s="2">
        <v>44713</v>
      </c>
      <c r="J498">
        <v>702.4</v>
      </c>
      <c r="K498">
        <v>61.1</v>
      </c>
      <c r="L498" t="s">
        <v>16</v>
      </c>
      <c r="M498">
        <f t="shared" si="21"/>
        <v>702.4</v>
      </c>
      <c r="N498">
        <f t="shared" si="22"/>
        <v>0</v>
      </c>
      <c r="O498">
        <f t="shared" si="23"/>
        <v>702.4</v>
      </c>
    </row>
    <row r="499" spans="1:15" x14ac:dyDescent="0.2">
      <c r="A499" t="s">
        <v>60</v>
      </c>
      <c r="B499">
        <v>60563</v>
      </c>
      <c r="C499" t="s">
        <v>24</v>
      </c>
      <c r="D499" t="s">
        <v>14</v>
      </c>
      <c r="E499" s="3">
        <v>44884</v>
      </c>
      <c r="F499" t="s">
        <v>39</v>
      </c>
      <c r="G499" s="2">
        <v>44948</v>
      </c>
      <c r="H499" t="s">
        <v>61</v>
      </c>
      <c r="I499" s="2">
        <v>44713</v>
      </c>
      <c r="J499">
        <v>929.82</v>
      </c>
      <c r="K499">
        <v>61.1</v>
      </c>
      <c r="L499" t="s">
        <v>16</v>
      </c>
      <c r="M499">
        <f t="shared" si="21"/>
        <v>929.82</v>
      </c>
      <c r="N499">
        <f t="shared" si="22"/>
        <v>0</v>
      </c>
      <c r="O499">
        <f t="shared" si="23"/>
        <v>929.82</v>
      </c>
    </row>
    <row r="500" spans="1:15" x14ac:dyDescent="0.2">
      <c r="A500" t="s">
        <v>56</v>
      </c>
      <c r="B500">
        <v>60540</v>
      </c>
      <c r="C500" t="s">
        <v>24</v>
      </c>
      <c r="D500" t="s">
        <v>18</v>
      </c>
      <c r="E500" s="3">
        <v>44576</v>
      </c>
      <c r="F500" t="s">
        <v>46</v>
      </c>
      <c r="G500" s="2">
        <v>45056</v>
      </c>
      <c r="H500" t="s">
        <v>57</v>
      </c>
      <c r="I500" s="2">
        <v>44743</v>
      </c>
      <c r="J500">
        <v>856.78</v>
      </c>
      <c r="K500">
        <v>27.4</v>
      </c>
      <c r="L500" t="s">
        <v>19</v>
      </c>
      <c r="M500">
        <f t="shared" si="21"/>
        <v>856.78</v>
      </c>
      <c r="N500">
        <f t="shared" si="22"/>
        <v>0</v>
      </c>
      <c r="O500">
        <f t="shared" si="23"/>
        <v>856.78</v>
      </c>
    </row>
    <row r="501" spans="1:15" x14ac:dyDescent="0.2">
      <c r="A501" t="s">
        <v>58</v>
      </c>
      <c r="B501">
        <v>60540</v>
      </c>
      <c r="C501" t="s">
        <v>24</v>
      </c>
      <c r="D501" t="s">
        <v>18</v>
      </c>
      <c r="E501" s="3">
        <v>44600</v>
      </c>
      <c r="F501" t="s">
        <v>39</v>
      </c>
      <c r="G501" s="2">
        <v>44816</v>
      </c>
      <c r="H501" t="s">
        <v>59</v>
      </c>
      <c r="I501" s="2">
        <v>44743</v>
      </c>
      <c r="J501">
        <v>798.01</v>
      </c>
      <c r="K501">
        <v>27.4</v>
      </c>
      <c r="L501" t="s">
        <v>19</v>
      </c>
      <c r="M501">
        <f t="shared" si="21"/>
        <v>798.01</v>
      </c>
      <c r="N501">
        <f t="shared" si="22"/>
        <v>0</v>
      </c>
      <c r="O501">
        <f t="shared" si="23"/>
        <v>798.01</v>
      </c>
    </row>
    <row r="502" spans="1:15" x14ac:dyDescent="0.2">
      <c r="A502" t="s">
        <v>60</v>
      </c>
      <c r="B502">
        <v>60563</v>
      </c>
      <c r="C502" t="s">
        <v>24</v>
      </c>
      <c r="D502" t="s">
        <v>14</v>
      </c>
      <c r="E502" s="3">
        <v>44884</v>
      </c>
      <c r="F502" t="s">
        <v>39</v>
      </c>
      <c r="G502" s="2">
        <v>44948</v>
      </c>
      <c r="H502" t="s">
        <v>61</v>
      </c>
      <c r="I502" s="2">
        <v>44743</v>
      </c>
      <c r="J502">
        <v>944.42</v>
      </c>
      <c r="K502">
        <v>27.4</v>
      </c>
      <c r="L502" t="s">
        <v>19</v>
      </c>
      <c r="M502">
        <f t="shared" si="21"/>
        <v>944.42</v>
      </c>
      <c r="N502">
        <f t="shared" si="22"/>
        <v>0</v>
      </c>
      <c r="O502">
        <f t="shared" si="23"/>
        <v>944.42</v>
      </c>
    </row>
    <row r="503" spans="1:15" x14ac:dyDescent="0.2">
      <c r="A503" t="s">
        <v>56</v>
      </c>
      <c r="B503">
        <v>60540</v>
      </c>
      <c r="C503" t="s">
        <v>24</v>
      </c>
      <c r="D503" t="s">
        <v>18</v>
      </c>
      <c r="E503" s="3">
        <v>44576</v>
      </c>
      <c r="F503" t="s">
        <v>46</v>
      </c>
      <c r="G503" s="2">
        <v>45056</v>
      </c>
      <c r="H503" t="s">
        <v>57</v>
      </c>
      <c r="I503" s="2">
        <v>44774</v>
      </c>
      <c r="J503">
        <v>814.82</v>
      </c>
      <c r="K503">
        <v>54.2</v>
      </c>
      <c r="L503" t="s">
        <v>16</v>
      </c>
      <c r="M503">
        <f t="shared" si="21"/>
        <v>814.82</v>
      </c>
      <c r="N503">
        <f t="shared" si="22"/>
        <v>0</v>
      </c>
      <c r="O503">
        <f t="shared" si="23"/>
        <v>814.82</v>
      </c>
    </row>
    <row r="504" spans="1:15" x14ac:dyDescent="0.2">
      <c r="A504" t="s">
        <v>58</v>
      </c>
      <c r="B504">
        <v>60540</v>
      </c>
      <c r="C504" t="s">
        <v>24</v>
      </c>
      <c r="D504" t="s">
        <v>18</v>
      </c>
      <c r="E504" s="3">
        <v>44600</v>
      </c>
      <c r="F504" t="s">
        <v>39</v>
      </c>
      <c r="G504" s="2">
        <v>44816</v>
      </c>
      <c r="H504" t="s">
        <v>59</v>
      </c>
      <c r="I504" s="2">
        <v>44774</v>
      </c>
      <c r="J504">
        <v>833.36</v>
      </c>
      <c r="K504">
        <v>54.2</v>
      </c>
      <c r="L504" t="s">
        <v>16</v>
      </c>
      <c r="M504">
        <f t="shared" si="21"/>
        <v>833.36</v>
      </c>
      <c r="N504">
        <f t="shared" si="22"/>
        <v>0</v>
      </c>
      <c r="O504">
        <f t="shared" si="23"/>
        <v>833.36</v>
      </c>
    </row>
    <row r="505" spans="1:15" x14ac:dyDescent="0.2">
      <c r="A505" t="s">
        <v>60</v>
      </c>
      <c r="B505">
        <v>60563</v>
      </c>
      <c r="C505" t="s">
        <v>24</v>
      </c>
      <c r="D505" t="s">
        <v>14</v>
      </c>
      <c r="E505" s="3">
        <v>44884</v>
      </c>
      <c r="F505" t="s">
        <v>39</v>
      </c>
      <c r="G505" s="2">
        <v>44948</v>
      </c>
      <c r="H505" t="s">
        <v>61</v>
      </c>
      <c r="I505" s="2">
        <v>44774</v>
      </c>
      <c r="J505">
        <v>609.54999999999995</v>
      </c>
      <c r="K505">
        <v>54.2</v>
      </c>
      <c r="L505" t="s">
        <v>16</v>
      </c>
      <c r="M505">
        <f t="shared" si="21"/>
        <v>609.54999999999995</v>
      </c>
      <c r="N505">
        <f t="shared" si="22"/>
        <v>0</v>
      </c>
      <c r="O505">
        <f t="shared" si="23"/>
        <v>609.54999999999995</v>
      </c>
    </row>
    <row r="506" spans="1:15" x14ac:dyDescent="0.2">
      <c r="A506" t="s">
        <v>56</v>
      </c>
      <c r="B506">
        <v>60540</v>
      </c>
      <c r="C506" t="s">
        <v>24</v>
      </c>
      <c r="D506" t="s">
        <v>18</v>
      </c>
      <c r="E506" s="3">
        <v>44576</v>
      </c>
      <c r="F506" t="s">
        <v>46</v>
      </c>
      <c r="G506" s="2">
        <v>45056</v>
      </c>
      <c r="H506" t="s">
        <v>57</v>
      </c>
      <c r="I506" s="2">
        <v>44805</v>
      </c>
      <c r="J506">
        <v>917.24</v>
      </c>
      <c r="K506">
        <v>41.9</v>
      </c>
      <c r="L506" t="s">
        <v>16</v>
      </c>
      <c r="M506">
        <f t="shared" si="21"/>
        <v>917.24</v>
      </c>
      <c r="N506">
        <f t="shared" si="22"/>
        <v>0</v>
      </c>
      <c r="O506">
        <f t="shared" si="23"/>
        <v>917.24</v>
      </c>
    </row>
    <row r="507" spans="1:15" x14ac:dyDescent="0.2">
      <c r="A507" t="s">
        <v>58</v>
      </c>
      <c r="B507">
        <v>60540</v>
      </c>
      <c r="C507" t="s">
        <v>24</v>
      </c>
      <c r="D507" t="s">
        <v>18</v>
      </c>
      <c r="E507" s="3">
        <v>44600</v>
      </c>
      <c r="F507" t="s">
        <v>39</v>
      </c>
      <c r="G507" s="2">
        <v>44816</v>
      </c>
      <c r="H507" t="s">
        <v>59</v>
      </c>
      <c r="I507" s="2">
        <v>44805</v>
      </c>
      <c r="J507">
        <v>793.57</v>
      </c>
      <c r="K507">
        <v>41.9</v>
      </c>
      <c r="L507" t="s">
        <v>16</v>
      </c>
      <c r="M507">
        <f t="shared" si="21"/>
        <v>793.57</v>
      </c>
      <c r="N507">
        <f t="shared" si="22"/>
        <v>0</v>
      </c>
      <c r="O507">
        <f t="shared" si="23"/>
        <v>793.57</v>
      </c>
    </row>
    <row r="508" spans="1:15" x14ac:dyDescent="0.2">
      <c r="A508" t="s">
        <v>60</v>
      </c>
      <c r="B508">
        <v>60563</v>
      </c>
      <c r="C508" t="s">
        <v>24</v>
      </c>
      <c r="D508" t="s">
        <v>14</v>
      </c>
      <c r="E508" s="3">
        <v>44884</v>
      </c>
      <c r="F508" t="s">
        <v>39</v>
      </c>
      <c r="G508" s="2">
        <v>44948</v>
      </c>
      <c r="H508" t="s">
        <v>61</v>
      </c>
      <c r="I508" s="2">
        <v>44805</v>
      </c>
      <c r="J508">
        <v>817.54</v>
      </c>
      <c r="K508">
        <v>41.9</v>
      </c>
      <c r="L508" t="s">
        <v>16</v>
      </c>
      <c r="M508">
        <f t="shared" si="21"/>
        <v>817.54</v>
      </c>
      <c r="N508">
        <f t="shared" si="22"/>
        <v>0</v>
      </c>
      <c r="O508">
        <f t="shared" si="23"/>
        <v>817.54</v>
      </c>
    </row>
    <row r="509" spans="1:15" x14ac:dyDescent="0.2">
      <c r="A509" t="s">
        <v>56</v>
      </c>
      <c r="B509">
        <v>60540</v>
      </c>
      <c r="C509" t="s">
        <v>24</v>
      </c>
      <c r="D509" t="s">
        <v>18</v>
      </c>
      <c r="E509" s="3">
        <v>44576</v>
      </c>
      <c r="F509" t="s">
        <v>46</v>
      </c>
      <c r="G509" s="2">
        <v>45056</v>
      </c>
      <c r="H509" t="s">
        <v>57</v>
      </c>
      <c r="I509" s="2">
        <v>44835</v>
      </c>
      <c r="J509">
        <v>853.14</v>
      </c>
      <c r="K509">
        <v>74.099999999999994</v>
      </c>
      <c r="L509" t="s">
        <v>20</v>
      </c>
      <c r="M509">
        <f t="shared" si="21"/>
        <v>853.14</v>
      </c>
      <c r="N509">
        <f t="shared" si="22"/>
        <v>0</v>
      </c>
      <c r="O509">
        <f t="shared" si="23"/>
        <v>853.14</v>
      </c>
    </row>
    <row r="510" spans="1:15" x14ac:dyDescent="0.2">
      <c r="A510" t="s">
        <v>58</v>
      </c>
      <c r="B510">
        <v>60540</v>
      </c>
      <c r="C510" t="s">
        <v>24</v>
      </c>
      <c r="D510" t="s">
        <v>18</v>
      </c>
      <c r="E510" s="3">
        <v>44600</v>
      </c>
      <c r="F510" t="s">
        <v>39</v>
      </c>
      <c r="G510" s="2">
        <v>44816</v>
      </c>
      <c r="H510" t="s">
        <v>59</v>
      </c>
      <c r="I510" s="2">
        <v>44835</v>
      </c>
      <c r="J510">
        <v>665.73</v>
      </c>
      <c r="K510">
        <v>74.099999999999994</v>
      </c>
      <c r="L510" t="s">
        <v>20</v>
      </c>
      <c r="M510">
        <f t="shared" si="21"/>
        <v>0</v>
      </c>
      <c r="N510">
        <f t="shared" si="22"/>
        <v>665.73</v>
      </c>
      <c r="O510">
        <f t="shared" si="23"/>
        <v>-665.73</v>
      </c>
    </row>
    <row r="511" spans="1:15" x14ac:dyDescent="0.2">
      <c r="A511" t="s">
        <v>60</v>
      </c>
      <c r="B511">
        <v>60563</v>
      </c>
      <c r="C511" t="s">
        <v>24</v>
      </c>
      <c r="D511" t="s">
        <v>14</v>
      </c>
      <c r="E511" s="3">
        <v>44884</v>
      </c>
      <c r="F511" t="s">
        <v>39</v>
      </c>
      <c r="G511" s="2">
        <v>44948</v>
      </c>
      <c r="H511" t="s">
        <v>61</v>
      </c>
      <c r="I511" s="2">
        <v>44835</v>
      </c>
      <c r="J511">
        <v>938.86</v>
      </c>
      <c r="K511">
        <v>74.099999999999994</v>
      </c>
      <c r="L511" t="s">
        <v>20</v>
      </c>
      <c r="M511">
        <f t="shared" si="21"/>
        <v>938.86</v>
      </c>
      <c r="N511">
        <f t="shared" si="22"/>
        <v>0</v>
      </c>
      <c r="O511">
        <f t="shared" si="23"/>
        <v>938.86</v>
      </c>
    </row>
    <row r="512" spans="1:15" x14ac:dyDescent="0.2">
      <c r="A512" t="s">
        <v>56</v>
      </c>
      <c r="B512">
        <v>60540</v>
      </c>
      <c r="C512" t="s">
        <v>24</v>
      </c>
      <c r="D512" t="s">
        <v>18</v>
      </c>
      <c r="E512" s="3">
        <v>44576</v>
      </c>
      <c r="F512" t="s">
        <v>46</v>
      </c>
      <c r="G512" s="2">
        <v>45056</v>
      </c>
      <c r="H512" t="s">
        <v>57</v>
      </c>
      <c r="I512" s="2">
        <v>44866</v>
      </c>
      <c r="J512">
        <v>874.91</v>
      </c>
      <c r="K512">
        <v>42.6</v>
      </c>
      <c r="L512" t="s">
        <v>16</v>
      </c>
      <c r="M512">
        <f t="shared" si="21"/>
        <v>874.91</v>
      </c>
      <c r="N512">
        <f t="shared" si="22"/>
        <v>0</v>
      </c>
      <c r="O512">
        <f t="shared" si="23"/>
        <v>874.91</v>
      </c>
    </row>
    <row r="513" spans="1:15" x14ac:dyDescent="0.2">
      <c r="A513" t="s">
        <v>58</v>
      </c>
      <c r="B513">
        <v>60540</v>
      </c>
      <c r="C513" t="s">
        <v>24</v>
      </c>
      <c r="D513" t="s">
        <v>18</v>
      </c>
      <c r="E513" s="3">
        <v>44600</v>
      </c>
      <c r="F513" t="s">
        <v>39</v>
      </c>
      <c r="G513" s="2">
        <v>44816</v>
      </c>
      <c r="H513" t="s">
        <v>59</v>
      </c>
      <c r="I513" s="2">
        <v>44866</v>
      </c>
      <c r="J513">
        <v>970.14</v>
      </c>
      <c r="K513">
        <v>42.6</v>
      </c>
      <c r="L513" t="s">
        <v>16</v>
      </c>
      <c r="M513">
        <f t="shared" si="21"/>
        <v>0</v>
      </c>
      <c r="N513">
        <f t="shared" si="22"/>
        <v>970.14</v>
      </c>
      <c r="O513">
        <f t="shared" si="23"/>
        <v>-970.14</v>
      </c>
    </row>
    <row r="514" spans="1:15" x14ac:dyDescent="0.2">
      <c r="A514" t="s">
        <v>60</v>
      </c>
      <c r="B514">
        <v>60563</v>
      </c>
      <c r="C514" t="s">
        <v>24</v>
      </c>
      <c r="D514" t="s">
        <v>14</v>
      </c>
      <c r="E514" s="3">
        <v>44884</v>
      </c>
      <c r="F514" t="s">
        <v>39</v>
      </c>
      <c r="G514" s="2">
        <v>44948</v>
      </c>
      <c r="H514" t="s">
        <v>61</v>
      </c>
      <c r="I514" s="2">
        <v>44866</v>
      </c>
      <c r="J514">
        <v>923.02</v>
      </c>
      <c r="K514">
        <v>42.6</v>
      </c>
      <c r="L514" t="s">
        <v>16</v>
      </c>
      <c r="M514">
        <f t="shared" ref="M514:M577" si="24">SUMIFS(J514,I514, "&lt;" &amp;G514,I514,"&lt;&gt;",G514,"&lt;&gt;")</f>
        <v>923.02</v>
      </c>
      <c r="N514">
        <f t="shared" ref="N514:N577" si="25">SUMIFS(J514,I514, "&gt;=" &amp;G514,I514,"&lt;&gt;",G514,"&lt;&gt;")</f>
        <v>0</v>
      </c>
      <c r="O514">
        <f t="shared" ref="O514:O577" si="26">SUM(M514-N514)</f>
        <v>923.02</v>
      </c>
    </row>
    <row r="515" spans="1:15" x14ac:dyDescent="0.2">
      <c r="A515" t="s">
        <v>56</v>
      </c>
      <c r="B515">
        <v>60540</v>
      </c>
      <c r="C515" t="s">
        <v>24</v>
      </c>
      <c r="D515" t="s">
        <v>18</v>
      </c>
      <c r="E515" s="3">
        <v>44576</v>
      </c>
      <c r="F515" t="s">
        <v>46</v>
      </c>
      <c r="G515" s="2">
        <v>45056</v>
      </c>
      <c r="H515" t="s">
        <v>57</v>
      </c>
      <c r="I515" s="2">
        <v>44896</v>
      </c>
      <c r="J515">
        <v>980.9</v>
      </c>
      <c r="K515">
        <v>52.3</v>
      </c>
      <c r="L515" t="s">
        <v>16</v>
      </c>
      <c r="M515">
        <f t="shared" si="24"/>
        <v>980.9</v>
      </c>
      <c r="N515">
        <f t="shared" si="25"/>
        <v>0</v>
      </c>
      <c r="O515">
        <f t="shared" si="26"/>
        <v>980.9</v>
      </c>
    </row>
    <row r="516" spans="1:15" x14ac:dyDescent="0.2">
      <c r="A516" t="s">
        <v>58</v>
      </c>
      <c r="B516">
        <v>60540</v>
      </c>
      <c r="C516" t="s">
        <v>24</v>
      </c>
      <c r="D516" t="s">
        <v>18</v>
      </c>
      <c r="E516" s="3">
        <v>44600</v>
      </c>
      <c r="F516" t="s">
        <v>39</v>
      </c>
      <c r="G516" s="2">
        <v>44816</v>
      </c>
      <c r="H516" t="s">
        <v>59</v>
      </c>
      <c r="I516" s="2">
        <v>44896</v>
      </c>
      <c r="J516">
        <v>808.77</v>
      </c>
      <c r="K516">
        <v>52.3</v>
      </c>
      <c r="L516" t="s">
        <v>16</v>
      </c>
      <c r="M516">
        <f t="shared" si="24"/>
        <v>0</v>
      </c>
      <c r="N516">
        <f t="shared" si="25"/>
        <v>808.77</v>
      </c>
      <c r="O516">
        <f t="shared" si="26"/>
        <v>-808.77</v>
      </c>
    </row>
    <row r="517" spans="1:15" x14ac:dyDescent="0.2">
      <c r="A517" t="s">
        <v>60</v>
      </c>
      <c r="B517">
        <v>60563</v>
      </c>
      <c r="C517" t="s">
        <v>24</v>
      </c>
      <c r="D517" t="s">
        <v>14</v>
      </c>
      <c r="E517" s="3">
        <v>44884</v>
      </c>
      <c r="F517" t="s">
        <v>39</v>
      </c>
      <c r="G517" s="2">
        <v>44948</v>
      </c>
      <c r="H517" t="s">
        <v>61</v>
      </c>
      <c r="I517" s="2">
        <v>44896</v>
      </c>
      <c r="J517">
        <v>883.61</v>
      </c>
      <c r="K517">
        <v>52.3</v>
      </c>
      <c r="L517" t="s">
        <v>16</v>
      </c>
      <c r="M517">
        <f t="shared" si="24"/>
        <v>883.61</v>
      </c>
      <c r="N517">
        <f t="shared" si="25"/>
        <v>0</v>
      </c>
      <c r="O517">
        <f t="shared" si="26"/>
        <v>883.61</v>
      </c>
    </row>
    <row r="518" spans="1:15" x14ac:dyDescent="0.2">
      <c r="A518" t="s">
        <v>56</v>
      </c>
      <c r="B518">
        <v>60540</v>
      </c>
      <c r="C518" t="s">
        <v>24</v>
      </c>
      <c r="D518" t="s">
        <v>18</v>
      </c>
      <c r="E518" s="3">
        <v>44576</v>
      </c>
      <c r="F518" t="s">
        <v>46</v>
      </c>
      <c r="G518" s="2">
        <v>45056</v>
      </c>
      <c r="H518" t="s">
        <v>57</v>
      </c>
      <c r="I518" s="2">
        <v>44927</v>
      </c>
      <c r="J518">
        <v>722.7</v>
      </c>
      <c r="K518">
        <v>76.2</v>
      </c>
      <c r="L518" t="s">
        <v>20</v>
      </c>
      <c r="M518">
        <f t="shared" si="24"/>
        <v>722.7</v>
      </c>
      <c r="N518">
        <f t="shared" si="25"/>
        <v>0</v>
      </c>
      <c r="O518">
        <f t="shared" si="26"/>
        <v>722.7</v>
      </c>
    </row>
    <row r="519" spans="1:15" x14ac:dyDescent="0.2">
      <c r="A519" t="s">
        <v>58</v>
      </c>
      <c r="B519">
        <v>60540</v>
      </c>
      <c r="C519" t="s">
        <v>24</v>
      </c>
      <c r="D519" t="s">
        <v>18</v>
      </c>
      <c r="E519" s="3">
        <v>44600</v>
      </c>
      <c r="F519" t="s">
        <v>39</v>
      </c>
      <c r="G519" s="2">
        <v>44816</v>
      </c>
      <c r="H519" t="s">
        <v>59</v>
      </c>
      <c r="I519" s="2">
        <v>44927</v>
      </c>
      <c r="J519">
        <v>620.57000000000005</v>
      </c>
      <c r="K519">
        <v>76.2</v>
      </c>
      <c r="L519" t="s">
        <v>20</v>
      </c>
      <c r="M519">
        <f t="shared" si="24"/>
        <v>0</v>
      </c>
      <c r="N519">
        <f t="shared" si="25"/>
        <v>620.57000000000005</v>
      </c>
      <c r="O519">
        <f t="shared" si="26"/>
        <v>-620.57000000000005</v>
      </c>
    </row>
    <row r="520" spans="1:15" x14ac:dyDescent="0.2">
      <c r="A520" t="s">
        <v>60</v>
      </c>
      <c r="B520">
        <v>60563</v>
      </c>
      <c r="C520" t="s">
        <v>24</v>
      </c>
      <c r="D520" t="s">
        <v>14</v>
      </c>
      <c r="E520" s="3">
        <v>44884</v>
      </c>
      <c r="F520" t="s">
        <v>39</v>
      </c>
      <c r="G520" s="2">
        <v>44948</v>
      </c>
      <c r="H520" t="s">
        <v>61</v>
      </c>
      <c r="I520" s="2">
        <v>44927</v>
      </c>
      <c r="J520">
        <v>435.27</v>
      </c>
      <c r="K520">
        <v>76.2</v>
      </c>
      <c r="L520" t="s">
        <v>20</v>
      </c>
      <c r="M520">
        <f t="shared" si="24"/>
        <v>435.27</v>
      </c>
      <c r="N520">
        <f t="shared" si="25"/>
        <v>0</v>
      </c>
      <c r="O520">
        <f t="shared" si="26"/>
        <v>435.27</v>
      </c>
    </row>
    <row r="521" spans="1:15" x14ac:dyDescent="0.2">
      <c r="A521" t="s">
        <v>56</v>
      </c>
      <c r="B521">
        <v>60540</v>
      </c>
      <c r="C521" t="s">
        <v>24</v>
      </c>
      <c r="D521" t="s">
        <v>18</v>
      </c>
      <c r="E521" s="3">
        <v>44576</v>
      </c>
      <c r="F521" t="s">
        <v>46</v>
      </c>
      <c r="G521" s="2">
        <v>45056</v>
      </c>
      <c r="H521" t="s">
        <v>57</v>
      </c>
      <c r="I521" s="2">
        <v>44958</v>
      </c>
      <c r="J521">
        <v>672.9</v>
      </c>
      <c r="K521">
        <v>73.7</v>
      </c>
      <c r="L521" t="s">
        <v>20</v>
      </c>
      <c r="M521">
        <f t="shared" si="24"/>
        <v>672.9</v>
      </c>
      <c r="N521">
        <f t="shared" si="25"/>
        <v>0</v>
      </c>
      <c r="O521">
        <f t="shared" si="26"/>
        <v>672.9</v>
      </c>
    </row>
    <row r="522" spans="1:15" x14ac:dyDescent="0.2">
      <c r="A522" t="s">
        <v>58</v>
      </c>
      <c r="B522">
        <v>60540</v>
      </c>
      <c r="C522" t="s">
        <v>24</v>
      </c>
      <c r="D522" t="s">
        <v>18</v>
      </c>
      <c r="E522" s="3">
        <v>44600</v>
      </c>
      <c r="F522" t="s">
        <v>39</v>
      </c>
      <c r="G522" s="2">
        <v>44816</v>
      </c>
      <c r="H522" t="s">
        <v>59</v>
      </c>
      <c r="I522" s="2">
        <v>44958</v>
      </c>
      <c r="J522">
        <v>862.08</v>
      </c>
      <c r="K522">
        <v>73.7</v>
      </c>
      <c r="L522" t="s">
        <v>20</v>
      </c>
      <c r="M522">
        <f t="shared" si="24"/>
        <v>0</v>
      </c>
      <c r="N522">
        <f t="shared" si="25"/>
        <v>862.08</v>
      </c>
      <c r="O522">
        <f t="shared" si="26"/>
        <v>-862.08</v>
      </c>
    </row>
    <row r="523" spans="1:15" x14ac:dyDescent="0.2">
      <c r="A523" t="s">
        <v>60</v>
      </c>
      <c r="B523">
        <v>60563</v>
      </c>
      <c r="C523" t="s">
        <v>24</v>
      </c>
      <c r="D523" t="s">
        <v>14</v>
      </c>
      <c r="E523" s="3">
        <v>44884</v>
      </c>
      <c r="F523" t="s">
        <v>39</v>
      </c>
      <c r="G523" s="2">
        <v>44948</v>
      </c>
      <c r="H523" t="s">
        <v>61</v>
      </c>
      <c r="I523" s="2">
        <v>44958</v>
      </c>
      <c r="J523">
        <v>772.95</v>
      </c>
      <c r="K523">
        <v>73.7</v>
      </c>
      <c r="L523" t="s">
        <v>20</v>
      </c>
      <c r="M523">
        <f t="shared" si="24"/>
        <v>0</v>
      </c>
      <c r="N523">
        <f t="shared" si="25"/>
        <v>772.95</v>
      </c>
      <c r="O523">
        <f t="shared" si="26"/>
        <v>-772.95</v>
      </c>
    </row>
    <row r="524" spans="1:15" x14ac:dyDescent="0.2">
      <c r="A524" t="s">
        <v>56</v>
      </c>
      <c r="B524">
        <v>60540</v>
      </c>
      <c r="C524" t="s">
        <v>24</v>
      </c>
      <c r="D524" t="s">
        <v>18</v>
      </c>
      <c r="E524" s="3">
        <v>44576</v>
      </c>
      <c r="F524" t="s">
        <v>46</v>
      </c>
      <c r="G524" s="2">
        <v>45056</v>
      </c>
      <c r="H524" t="s">
        <v>57</v>
      </c>
      <c r="I524" s="2">
        <v>44986</v>
      </c>
      <c r="J524">
        <v>744.63</v>
      </c>
      <c r="K524">
        <v>52.8</v>
      </c>
      <c r="L524" t="s">
        <v>16</v>
      </c>
      <c r="M524">
        <f t="shared" si="24"/>
        <v>744.63</v>
      </c>
      <c r="N524">
        <f t="shared" si="25"/>
        <v>0</v>
      </c>
      <c r="O524">
        <f t="shared" si="26"/>
        <v>744.63</v>
      </c>
    </row>
    <row r="525" spans="1:15" x14ac:dyDescent="0.2">
      <c r="A525" t="s">
        <v>58</v>
      </c>
      <c r="B525">
        <v>60540</v>
      </c>
      <c r="C525" t="s">
        <v>24</v>
      </c>
      <c r="D525" t="s">
        <v>18</v>
      </c>
      <c r="E525" s="3">
        <v>44600</v>
      </c>
      <c r="F525" t="s">
        <v>39</v>
      </c>
      <c r="G525" s="2">
        <v>44816</v>
      </c>
      <c r="H525" t="s">
        <v>59</v>
      </c>
      <c r="I525" s="2">
        <v>44986</v>
      </c>
      <c r="J525">
        <v>761.74</v>
      </c>
      <c r="K525">
        <v>52.8</v>
      </c>
      <c r="L525" t="s">
        <v>16</v>
      </c>
      <c r="M525">
        <f t="shared" si="24"/>
        <v>0</v>
      </c>
      <c r="N525">
        <f t="shared" si="25"/>
        <v>761.74</v>
      </c>
      <c r="O525">
        <f t="shared" si="26"/>
        <v>-761.74</v>
      </c>
    </row>
    <row r="526" spans="1:15" x14ac:dyDescent="0.2">
      <c r="A526" t="s">
        <v>60</v>
      </c>
      <c r="B526">
        <v>60563</v>
      </c>
      <c r="C526" t="s">
        <v>24</v>
      </c>
      <c r="D526" t="s">
        <v>14</v>
      </c>
      <c r="E526" s="3">
        <v>44884</v>
      </c>
      <c r="F526" t="s">
        <v>39</v>
      </c>
      <c r="G526" s="2">
        <v>44948</v>
      </c>
      <c r="H526" t="s">
        <v>61</v>
      </c>
      <c r="I526" s="2">
        <v>44986</v>
      </c>
      <c r="J526">
        <v>678.19</v>
      </c>
      <c r="K526">
        <v>52.8</v>
      </c>
      <c r="L526" t="s">
        <v>16</v>
      </c>
      <c r="M526">
        <f t="shared" si="24"/>
        <v>0</v>
      </c>
      <c r="N526">
        <f t="shared" si="25"/>
        <v>678.19</v>
      </c>
      <c r="O526">
        <f t="shared" si="26"/>
        <v>-678.19</v>
      </c>
    </row>
    <row r="527" spans="1:15" x14ac:dyDescent="0.2">
      <c r="A527" t="s">
        <v>56</v>
      </c>
      <c r="B527">
        <v>60540</v>
      </c>
      <c r="C527" t="s">
        <v>24</v>
      </c>
      <c r="D527" t="s">
        <v>18</v>
      </c>
      <c r="E527" s="3">
        <v>44576</v>
      </c>
      <c r="F527" t="s">
        <v>46</v>
      </c>
      <c r="G527" s="2">
        <v>45056</v>
      </c>
      <c r="H527" t="s">
        <v>57</v>
      </c>
      <c r="I527" s="2">
        <v>45017</v>
      </c>
      <c r="J527">
        <v>813.62</v>
      </c>
      <c r="K527">
        <v>103.1</v>
      </c>
      <c r="L527" t="s">
        <v>20</v>
      </c>
      <c r="M527">
        <f t="shared" si="24"/>
        <v>813.62</v>
      </c>
      <c r="N527">
        <f t="shared" si="25"/>
        <v>0</v>
      </c>
      <c r="O527">
        <f t="shared" si="26"/>
        <v>813.62</v>
      </c>
    </row>
    <row r="528" spans="1:15" x14ac:dyDescent="0.2">
      <c r="A528" t="s">
        <v>58</v>
      </c>
      <c r="B528">
        <v>60540</v>
      </c>
      <c r="C528" t="s">
        <v>24</v>
      </c>
      <c r="D528" t="s">
        <v>18</v>
      </c>
      <c r="E528" s="3">
        <v>44600</v>
      </c>
      <c r="F528" t="s">
        <v>39</v>
      </c>
      <c r="G528" s="2">
        <v>44816</v>
      </c>
      <c r="H528" t="s">
        <v>59</v>
      </c>
      <c r="I528" s="2">
        <v>45017</v>
      </c>
      <c r="J528">
        <v>579.98</v>
      </c>
      <c r="K528">
        <v>103.1</v>
      </c>
      <c r="L528" t="s">
        <v>20</v>
      </c>
      <c r="M528">
        <f t="shared" si="24"/>
        <v>0</v>
      </c>
      <c r="N528">
        <f t="shared" si="25"/>
        <v>579.98</v>
      </c>
      <c r="O528">
        <f t="shared" si="26"/>
        <v>-579.98</v>
      </c>
    </row>
    <row r="529" spans="1:15" x14ac:dyDescent="0.2">
      <c r="A529" t="s">
        <v>60</v>
      </c>
      <c r="B529">
        <v>60563</v>
      </c>
      <c r="C529" t="s">
        <v>24</v>
      </c>
      <c r="D529" t="s">
        <v>14</v>
      </c>
      <c r="E529" s="3">
        <v>44884</v>
      </c>
      <c r="F529" t="s">
        <v>39</v>
      </c>
      <c r="G529" s="2">
        <v>44948</v>
      </c>
      <c r="H529" t="s">
        <v>61</v>
      </c>
      <c r="I529" s="2">
        <v>45017</v>
      </c>
      <c r="J529">
        <v>799.59</v>
      </c>
      <c r="K529">
        <v>103.1</v>
      </c>
      <c r="L529" t="s">
        <v>20</v>
      </c>
      <c r="M529">
        <f t="shared" si="24"/>
        <v>0</v>
      </c>
      <c r="N529">
        <f t="shared" si="25"/>
        <v>799.59</v>
      </c>
      <c r="O529">
        <f t="shared" si="26"/>
        <v>-799.59</v>
      </c>
    </row>
    <row r="530" spans="1:15" x14ac:dyDescent="0.2">
      <c r="A530" t="s">
        <v>56</v>
      </c>
      <c r="B530">
        <v>60540</v>
      </c>
      <c r="C530" t="s">
        <v>24</v>
      </c>
      <c r="D530" t="s">
        <v>18</v>
      </c>
      <c r="E530" s="3">
        <v>44576</v>
      </c>
      <c r="F530" t="s">
        <v>46</v>
      </c>
      <c r="G530" s="2">
        <v>45056</v>
      </c>
      <c r="H530" t="s">
        <v>57</v>
      </c>
      <c r="I530" s="2">
        <v>45047</v>
      </c>
      <c r="J530">
        <v>750.14</v>
      </c>
      <c r="K530">
        <v>40.6</v>
      </c>
      <c r="L530" t="s">
        <v>16</v>
      </c>
      <c r="M530">
        <f t="shared" si="24"/>
        <v>750.14</v>
      </c>
      <c r="N530">
        <f t="shared" si="25"/>
        <v>0</v>
      </c>
      <c r="O530">
        <f t="shared" si="26"/>
        <v>750.14</v>
      </c>
    </row>
    <row r="531" spans="1:15" x14ac:dyDescent="0.2">
      <c r="A531" t="s">
        <v>58</v>
      </c>
      <c r="B531">
        <v>60540</v>
      </c>
      <c r="C531" t="s">
        <v>24</v>
      </c>
      <c r="D531" t="s">
        <v>18</v>
      </c>
      <c r="E531" s="3">
        <v>44600</v>
      </c>
      <c r="F531" t="s">
        <v>39</v>
      </c>
      <c r="G531" s="2">
        <v>44816</v>
      </c>
      <c r="H531" t="s">
        <v>59</v>
      </c>
      <c r="I531" s="2">
        <v>45047</v>
      </c>
      <c r="J531">
        <v>595.54999999999995</v>
      </c>
      <c r="K531">
        <v>40.6</v>
      </c>
      <c r="L531" t="s">
        <v>16</v>
      </c>
      <c r="M531">
        <f t="shared" si="24"/>
        <v>0</v>
      </c>
      <c r="N531">
        <f t="shared" si="25"/>
        <v>595.54999999999995</v>
      </c>
      <c r="O531">
        <f t="shared" si="26"/>
        <v>-595.54999999999995</v>
      </c>
    </row>
    <row r="532" spans="1:15" x14ac:dyDescent="0.2">
      <c r="A532" t="s">
        <v>60</v>
      </c>
      <c r="B532">
        <v>60563</v>
      </c>
      <c r="C532" t="s">
        <v>24</v>
      </c>
      <c r="D532" t="s">
        <v>14</v>
      </c>
      <c r="E532" s="3">
        <v>44884</v>
      </c>
      <c r="F532" t="s">
        <v>39</v>
      </c>
      <c r="G532" s="2">
        <v>44948</v>
      </c>
      <c r="H532" t="s">
        <v>61</v>
      </c>
      <c r="I532" s="2">
        <v>45047</v>
      </c>
      <c r="J532">
        <v>725.62</v>
      </c>
      <c r="K532">
        <v>40.6</v>
      </c>
      <c r="L532" t="s">
        <v>16</v>
      </c>
      <c r="M532">
        <f t="shared" si="24"/>
        <v>0</v>
      </c>
      <c r="N532">
        <f t="shared" si="25"/>
        <v>725.62</v>
      </c>
      <c r="O532">
        <f t="shared" si="26"/>
        <v>-725.62</v>
      </c>
    </row>
    <row r="533" spans="1:15" x14ac:dyDescent="0.2">
      <c r="A533" t="s">
        <v>56</v>
      </c>
      <c r="B533">
        <v>60540</v>
      </c>
      <c r="C533" t="s">
        <v>24</v>
      </c>
      <c r="D533" t="s">
        <v>18</v>
      </c>
      <c r="E533" s="3">
        <v>44576</v>
      </c>
      <c r="F533" t="s">
        <v>46</v>
      </c>
      <c r="G533" s="2">
        <v>45056</v>
      </c>
      <c r="H533" t="s">
        <v>57</v>
      </c>
      <c r="I533" s="2">
        <v>45078</v>
      </c>
      <c r="J533">
        <v>806.06</v>
      </c>
      <c r="K533">
        <v>76</v>
      </c>
      <c r="L533" t="s">
        <v>20</v>
      </c>
      <c r="M533">
        <f t="shared" si="24"/>
        <v>0</v>
      </c>
      <c r="N533">
        <f t="shared" si="25"/>
        <v>806.06</v>
      </c>
      <c r="O533">
        <f t="shared" si="26"/>
        <v>-806.06</v>
      </c>
    </row>
    <row r="534" spans="1:15" x14ac:dyDescent="0.2">
      <c r="A534" t="s">
        <v>58</v>
      </c>
      <c r="B534">
        <v>60540</v>
      </c>
      <c r="C534" t="s">
        <v>24</v>
      </c>
      <c r="D534" t="s">
        <v>18</v>
      </c>
      <c r="E534" s="3">
        <v>44600</v>
      </c>
      <c r="F534" t="s">
        <v>39</v>
      </c>
      <c r="G534" s="2">
        <v>44816</v>
      </c>
      <c r="H534" t="s">
        <v>59</v>
      </c>
      <c r="I534" s="2">
        <v>45078</v>
      </c>
      <c r="J534">
        <v>677.76</v>
      </c>
      <c r="K534">
        <v>76</v>
      </c>
      <c r="L534" t="s">
        <v>20</v>
      </c>
      <c r="M534">
        <f t="shared" si="24"/>
        <v>0</v>
      </c>
      <c r="N534">
        <f t="shared" si="25"/>
        <v>677.76</v>
      </c>
      <c r="O534">
        <f t="shared" si="26"/>
        <v>-677.76</v>
      </c>
    </row>
    <row r="535" spans="1:15" x14ac:dyDescent="0.2">
      <c r="A535" t="s">
        <v>60</v>
      </c>
      <c r="B535">
        <v>60563</v>
      </c>
      <c r="C535" t="s">
        <v>24</v>
      </c>
      <c r="D535" t="s">
        <v>14</v>
      </c>
      <c r="E535" s="3">
        <v>44884</v>
      </c>
      <c r="F535" t="s">
        <v>39</v>
      </c>
      <c r="G535" s="2">
        <v>44948</v>
      </c>
      <c r="H535" t="s">
        <v>61</v>
      </c>
      <c r="I535" s="2">
        <v>45078</v>
      </c>
      <c r="J535">
        <v>698.01</v>
      </c>
      <c r="K535">
        <v>76</v>
      </c>
      <c r="L535" t="s">
        <v>20</v>
      </c>
      <c r="M535">
        <f t="shared" si="24"/>
        <v>0</v>
      </c>
      <c r="N535">
        <f t="shared" si="25"/>
        <v>698.01</v>
      </c>
      <c r="O535">
        <f t="shared" si="26"/>
        <v>-698.01</v>
      </c>
    </row>
    <row r="536" spans="1:15" x14ac:dyDescent="0.2">
      <c r="A536" t="s">
        <v>56</v>
      </c>
      <c r="B536">
        <v>60540</v>
      </c>
      <c r="C536" t="s">
        <v>24</v>
      </c>
      <c r="D536" t="s">
        <v>18</v>
      </c>
      <c r="E536" s="3">
        <v>44576</v>
      </c>
      <c r="F536" t="s">
        <v>46</v>
      </c>
      <c r="G536" s="2">
        <v>45056</v>
      </c>
      <c r="H536" t="s">
        <v>57</v>
      </c>
      <c r="I536" s="2">
        <v>45108</v>
      </c>
      <c r="J536">
        <v>633.1</v>
      </c>
      <c r="K536">
        <v>38.9</v>
      </c>
      <c r="L536" t="s">
        <v>19</v>
      </c>
      <c r="M536">
        <f t="shared" si="24"/>
        <v>0</v>
      </c>
      <c r="N536">
        <f t="shared" si="25"/>
        <v>633.1</v>
      </c>
      <c r="O536">
        <f t="shared" si="26"/>
        <v>-633.1</v>
      </c>
    </row>
    <row r="537" spans="1:15" x14ac:dyDescent="0.2">
      <c r="A537" t="s">
        <v>58</v>
      </c>
      <c r="B537">
        <v>60540</v>
      </c>
      <c r="C537" t="s">
        <v>24</v>
      </c>
      <c r="D537" t="s">
        <v>18</v>
      </c>
      <c r="E537" s="3">
        <v>44600</v>
      </c>
      <c r="F537" t="s">
        <v>39</v>
      </c>
      <c r="G537" s="2">
        <v>44816</v>
      </c>
      <c r="H537" t="s">
        <v>59</v>
      </c>
      <c r="I537" s="2">
        <v>45108</v>
      </c>
      <c r="J537">
        <v>729.73</v>
      </c>
      <c r="K537">
        <v>38.9</v>
      </c>
      <c r="L537" t="s">
        <v>19</v>
      </c>
      <c r="M537">
        <f t="shared" si="24"/>
        <v>0</v>
      </c>
      <c r="N537">
        <f t="shared" si="25"/>
        <v>729.73</v>
      </c>
      <c r="O537">
        <f t="shared" si="26"/>
        <v>-729.73</v>
      </c>
    </row>
    <row r="538" spans="1:15" x14ac:dyDescent="0.2">
      <c r="A538" t="s">
        <v>60</v>
      </c>
      <c r="B538">
        <v>60563</v>
      </c>
      <c r="C538" t="s">
        <v>24</v>
      </c>
      <c r="D538" t="s">
        <v>14</v>
      </c>
      <c r="E538" s="3">
        <v>44884</v>
      </c>
      <c r="F538" t="s">
        <v>39</v>
      </c>
      <c r="G538" s="2">
        <v>44948</v>
      </c>
      <c r="H538" t="s">
        <v>61</v>
      </c>
      <c r="I538" s="2">
        <v>45108</v>
      </c>
      <c r="J538">
        <v>764.09</v>
      </c>
      <c r="K538">
        <v>38.9</v>
      </c>
      <c r="L538" t="s">
        <v>19</v>
      </c>
      <c r="M538">
        <f t="shared" si="24"/>
        <v>0</v>
      </c>
      <c r="N538">
        <f t="shared" si="25"/>
        <v>764.09</v>
      </c>
      <c r="O538">
        <f t="shared" si="26"/>
        <v>-764.09</v>
      </c>
    </row>
    <row r="539" spans="1:15" x14ac:dyDescent="0.2">
      <c r="A539" t="s">
        <v>56</v>
      </c>
      <c r="B539">
        <v>60540</v>
      </c>
      <c r="C539" t="s">
        <v>24</v>
      </c>
      <c r="D539" t="s">
        <v>18</v>
      </c>
      <c r="E539" s="3">
        <v>44576</v>
      </c>
      <c r="F539" t="s">
        <v>46</v>
      </c>
      <c r="G539" s="2">
        <v>45056</v>
      </c>
      <c r="H539" t="s">
        <v>57</v>
      </c>
      <c r="I539" s="2">
        <v>45139</v>
      </c>
      <c r="J539">
        <v>613.19000000000005</v>
      </c>
      <c r="K539">
        <v>80</v>
      </c>
      <c r="L539" t="s">
        <v>20</v>
      </c>
      <c r="M539">
        <f t="shared" si="24"/>
        <v>0</v>
      </c>
      <c r="N539">
        <f t="shared" si="25"/>
        <v>613.19000000000005</v>
      </c>
      <c r="O539">
        <f t="shared" si="26"/>
        <v>-613.19000000000005</v>
      </c>
    </row>
    <row r="540" spans="1:15" x14ac:dyDescent="0.2">
      <c r="A540" t="s">
        <v>58</v>
      </c>
      <c r="B540">
        <v>60540</v>
      </c>
      <c r="C540" t="s">
        <v>24</v>
      </c>
      <c r="D540" t="s">
        <v>18</v>
      </c>
      <c r="E540" s="3">
        <v>44600</v>
      </c>
      <c r="F540" t="s">
        <v>39</v>
      </c>
      <c r="G540" s="2">
        <v>44816</v>
      </c>
      <c r="H540" t="s">
        <v>59</v>
      </c>
      <c r="I540" s="2">
        <v>45139</v>
      </c>
      <c r="J540">
        <v>762.28</v>
      </c>
      <c r="K540">
        <v>80</v>
      </c>
      <c r="L540" t="s">
        <v>20</v>
      </c>
      <c r="M540">
        <f t="shared" si="24"/>
        <v>0</v>
      </c>
      <c r="N540">
        <f t="shared" si="25"/>
        <v>762.28</v>
      </c>
      <c r="O540">
        <f t="shared" si="26"/>
        <v>-762.28</v>
      </c>
    </row>
    <row r="541" spans="1:15" x14ac:dyDescent="0.2">
      <c r="A541" t="s">
        <v>60</v>
      </c>
      <c r="B541">
        <v>60563</v>
      </c>
      <c r="C541" t="s">
        <v>24</v>
      </c>
      <c r="D541" t="s">
        <v>14</v>
      </c>
      <c r="E541" s="3">
        <v>44884</v>
      </c>
      <c r="F541" t="s">
        <v>39</v>
      </c>
      <c r="G541" s="2">
        <v>44948</v>
      </c>
      <c r="H541" t="s">
        <v>61</v>
      </c>
      <c r="I541" s="2">
        <v>45139</v>
      </c>
      <c r="J541">
        <v>682.81</v>
      </c>
      <c r="K541">
        <v>80</v>
      </c>
      <c r="L541" t="s">
        <v>20</v>
      </c>
      <c r="M541">
        <f t="shared" si="24"/>
        <v>0</v>
      </c>
      <c r="N541">
        <f t="shared" si="25"/>
        <v>682.81</v>
      </c>
      <c r="O541">
        <f t="shared" si="26"/>
        <v>-682.81</v>
      </c>
    </row>
    <row r="542" spans="1:15" x14ac:dyDescent="0.2">
      <c r="A542" t="s">
        <v>56</v>
      </c>
      <c r="B542">
        <v>60540</v>
      </c>
      <c r="C542" t="s">
        <v>24</v>
      </c>
      <c r="D542" t="s">
        <v>18</v>
      </c>
      <c r="E542" s="3">
        <v>44576</v>
      </c>
      <c r="F542" t="s">
        <v>46</v>
      </c>
      <c r="G542" s="2">
        <v>45056</v>
      </c>
      <c r="H542" t="s">
        <v>57</v>
      </c>
      <c r="I542" s="2">
        <v>45170</v>
      </c>
      <c r="J542">
        <v>645.5</v>
      </c>
      <c r="K542">
        <v>84.9</v>
      </c>
      <c r="L542" t="s">
        <v>20</v>
      </c>
      <c r="M542">
        <f t="shared" si="24"/>
        <v>0</v>
      </c>
      <c r="N542">
        <f t="shared" si="25"/>
        <v>645.5</v>
      </c>
      <c r="O542">
        <f t="shared" si="26"/>
        <v>-645.5</v>
      </c>
    </row>
    <row r="543" spans="1:15" x14ac:dyDescent="0.2">
      <c r="A543" t="s">
        <v>58</v>
      </c>
      <c r="B543">
        <v>60540</v>
      </c>
      <c r="C543" t="s">
        <v>24</v>
      </c>
      <c r="D543" t="s">
        <v>18</v>
      </c>
      <c r="E543" s="3">
        <v>44600</v>
      </c>
      <c r="F543" t="s">
        <v>39</v>
      </c>
      <c r="G543" s="2">
        <v>44816</v>
      </c>
      <c r="H543" t="s">
        <v>59</v>
      </c>
      <c r="I543" s="2">
        <v>45170</v>
      </c>
      <c r="J543">
        <v>795.02</v>
      </c>
      <c r="K543">
        <v>84.9</v>
      </c>
      <c r="L543" t="s">
        <v>20</v>
      </c>
      <c r="M543">
        <f t="shared" si="24"/>
        <v>0</v>
      </c>
      <c r="N543">
        <f t="shared" si="25"/>
        <v>795.02</v>
      </c>
      <c r="O543">
        <f t="shared" si="26"/>
        <v>-795.02</v>
      </c>
    </row>
    <row r="544" spans="1:15" x14ac:dyDescent="0.2">
      <c r="A544" t="s">
        <v>60</v>
      </c>
      <c r="B544">
        <v>60563</v>
      </c>
      <c r="C544" t="s">
        <v>24</v>
      </c>
      <c r="D544" t="s">
        <v>14</v>
      </c>
      <c r="E544" s="3">
        <v>44884</v>
      </c>
      <c r="F544" t="s">
        <v>39</v>
      </c>
      <c r="G544" s="2">
        <v>44948</v>
      </c>
      <c r="H544" t="s">
        <v>61</v>
      </c>
      <c r="I544" s="2">
        <v>45170</v>
      </c>
      <c r="J544">
        <v>697.57</v>
      </c>
      <c r="K544">
        <v>84.9</v>
      </c>
      <c r="L544" t="s">
        <v>20</v>
      </c>
      <c r="M544">
        <f t="shared" si="24"/>
        <v>0</v>
      </c>
      <c r="N544">
        <f t="shared" si="25"/>
        <v>697.57</v>
      </c>
      <c r="O544">
        <f t="shared" si="26"/>
        <v>-697.57</v>
      </c>
    </row>
    <row r="545" spans="1:15" x14ac:dyDescent="0.2">
      <c r="A545" t="s">
        <v>56</v>
      </c>
      <c r="B545">
        <v>60540</v>
      </c>
      <c r="C545" t="s">
        <v>24</v>
      </c>
      <c r="D545" t="s">
        <v>18</v>
      </c>
      <c r="E545" s="3">
        <v>44576</v>
      </c>
      <c r="F545" t="s">
        <v>46</v>
      </c>
      <c r="G545" s="2">
        <v>45056</v>
      </c>
      <c r="H545" t="s">
        <v>57</v>
      </c>
      <c r="I545" s="2">
        <v>45200</v>
      </c>
      <c r="J545">
        <v>573.26</v>
      </c>
      <c r="K545">
        <v>80.8</v>
      </c>
      <c r="L545" t="s">
        <v>20</v>
      </c>
      <c r="M545">
        <f t="shared" si="24"/>
        <v>0</v>
      </c>
      <c r="N545">
        <f t="shared" si="25"/>
        <v>573.26</v>
      </c>
      <c r="O545">
        <f t="shared" si="26"/>
        <v>-573.26</v>
      </c>
    </row>
    <row r="546" spans="1:15" x14ac:dyDescent="0.2">
      <c r="A546" t="s">
        <v>58</v>
      </c>
      <c r="B546">
        <v>60540</v>
      </c>
      <c r="C546" t="s">
        <v>24</v>
      </c>
      <c r="D546" t="s">
        <v>18</v>
      </c>
      <c r="E546" s="3">
        <v>44600</v>
      </c>
      <c r="F546" t="s">
        <v>39</v>
      </c>
      <c r="G546" s="2">
        <v>44816</v>
      </c>
      <c r="H546" t="s">
        <v>59</v>
      </c>
      <c r="I546" s="2">
        <v>45200</v>
      </c>
      <c r="J546">
        <v>753.96</v>
      </c>
      <c r="K546">
        <v>80.8</v>
      </c>
      <c r="L546" t="s">
        <v>20</v>
      </c>
      <c r="M546">
        <f t="shared" si="24"/>
        <v>0</v>
      </c>
      <c r="N546">
        <f t="shared" si="25"/>
        <v>753.96</v>
      </c>
      <c r="O546">
        <f t="shared" si="26"/>
        <v>-753.96</v>
      </c>
    </row>
    <row r="547" spans="1:15" x14ac:dyDescent="0.2">
      <c r="A547" t="s">
        <v>60</v>
      </c>
      <c r="B547">
        <v>60563</v>
      </c>
      <c r="C547" t="s">
        <v>24</v>
      </c>
      <c r="D547" t="s">
        <v>14</v>
      </c>
      <c r="E547" s="3">
        <v>44884</v>
      </c>
      <c r="F547" t="s">
        <v>39</v>
      </c>
      <c r="G547" s="2">
        <v>44948</v>
      </c>
      <c r="H547" t="s">
        <v>61</v>
      </c>
      <c r="I547" s="2">
        <v>45200</v>
      </c>
      <c r="J547">
        <v>644.48</v>
      </c>
      <c r="K547">
        <v>80.8</v>
      </c>
      <c r="L547" t="s">
        <v>20</v>
      </c>
      <c r="M547">
        <f t="shared" si="24"/>
        <v>0</v>
      </c>
      <c r="N547">
        <f t="shared" si="25"/>
        <v>644.48</v>
      </c>
      <c r="O547">
        <f t="shared" si="26"/>
        <v>-644.48</v>
      </c>
    </row>
    <row r="548" spans="1:15" x14ac:dyDescent="0.2">
      <c r="A548" t="s">
        <v>56</v>
      </c>
      <c r="B548">
        <v>60540</v>
      </c>
      <c r="C548" t="s">
        <v>24</v>
      </c>
      <c r="D548" t="s">
        <v>18</v>
      </c>
      <c r="E548" s="3">
        <v>44576</v>
      </c>
      <c r="F548" t="s">
        <v>46</v>
      </c>
      <c r="G548" s="2">
        <v>45056</v>
      </c>
      <c r="H548" t="s">
        <v>57</v>
      </c>
      <c r="I548" s="2">
        <v>45231</v>
      </c>
      <c r="J548">
        <v>711.03</v>
      </c>
      <c r="K548">
        <v>46.5</v>
      </c>
      <c r="L548" t="s">
        <v>16</v>
      </c>
      <c r="M548">
        <f t="shared" si="24"/>
        <v>0</v>
      </c>
      <c r="N548">
        <f t="shared" si="25"/>
        <v>711.03</v>
      </c>
      <c r="O548">
        <f t="shared" si="26"/>
        <v>-711.03</v>
      </c>
    </row>
    <row r="549" spans="1:15" x14ac:dyDescent="0.2">
      <c r="A549" t="s">
        <v>58</v>
      </c>
      <c r="B549">
        <v>60540</v>
      </c>
      <c r="C549" t="s">
        <v>24</v>
      </c>
      <c r="D549" t="s">
        <v>18</v>
      </c>
      <c r="E549" s="3">
        <v>44600</v>
      </c>
      <c r="F549" t="s">
        <v>39</v>
      </c>
      <c r="G549" s="2">
        <v>44816</v>
      </c>
      <c r="H549" t="s">
        <v>59</v>
      </c>
      <c r="I549" s="2">
        <v>45231</v>
      </c>
      <c r="J549">
        <v>834.67</v>
      </c>
      <c r="K549">
        <v>46.5</v>
      </c>
      <c r="L549" t="s">
        <v>16</v>
      </c>
      <c r="M549">
        <f t="shared" si="24"/>
        <v>0</v>
      </c>
      <c r="N549">
        <f t="shared" si="25"/>
        <v>834.67</v>
      </c>
      <c r="O549">
        <f t="shared" si="26"/>
        <v>-834.67</v>
      </c>
    </row>
    <row r="550" spans="1:15" x14ac:dyDescent="0.2">
      <c r="A550" t="s">
        <v>60</v>
      </c>
      <c r="B550">
        <v>60563</v>
      </c>
      <c r="C550" t="s">
        <v>24</v>
      </c>
      <c r="D550" t="s">
        <v>14</v>
      </c>
      <c r="E550" s="3">
        <v>44884</v>
      </c>
      <c r="F550" t="s">
        <v>39</v>
      </c>
      <c r="G550" s="2">
        <v>44948</v>
      </c>
      <c r="H550" t="s">
        <v>61</v>
      </c>
      <c r="I550" s="2">
        <v>45231</v>
      </c>
      <c r="J550">
        <v>539.46</v>
      </c>
      <c r="K550">
        <v>46.5</v>
      </c>
      <c r="L550" t="s">
        <v>16</v>
      </c>
      <c r="M550">
        <f t="shared" si="24"/>
        <v>0</v>
      </c>
      <c r="N550">
        <f t="shared" si="25"/>
        <v>539.46</v>
      </c>
      <c r="O550">
        <f t="shared" si="26"/>
        <v>-539.46</v>
      </c>
    </row>
    <row r="551" spans="1:15" x14ac:dyDescent="0.2">
      <c r="A551" t="s">
        <v>56</v>
      </c>
      <c r="B551">
        <v>60540</v>
      </c>
      <c r="C551" t="s">
        <v>24</v>
      </c>
      <c r="D551" t="s">
        <v>18</v>
      </c>
      <c r="E551" s="3">
        <v>44576</v>
      </c>
      <c r="F551" t="s">
        <v>46</v>
      </c>
      <c r="G551" s="2">
        <v>45056</v>
      </c>
      <c r="H551" t="s">
        <v>57</v>
      </c>
      <c r="I551" s="2">
        <v>45261</v>
      </c>
      <c r="J551">
        <v>657</v>
      </c>
      <c r="K551">
        <v>29.2</v>
      </c>
      <c r="L551" t="s">
        <v>19</v>
      </c>
      <c r="M551">
        <f t="shared" si="24"/>
        <v>0</v>
      </c>
      <c r="N551">
        <f t="shared" si="25"/>
        <v>657</v>
      </c>
      <c r="O551">
        <f t="shared" si="26"/>
        <v>-657</v>
      </c>
    </row>
    <row r="552" spans="1:15" x14ac:dyDescent="0.2">
      <c r="A552" t="s">
        <v>58</v>
      </c>
      <c r="B552">
        <v>60540</v>
      </c>
      <c r="C552" t="s">
        <v>24</v>
      </c>
      <c r="D552" t="s">
        <v>18</v>
      </c>
      <c r="E552" s="3">
        <v>44600</v>
      </c>
      <c r="F552" t="s">
        <v>39</v>
      </c>
      <c r="G552" s="2">
        <v>44816</v>
      </c>
      <c r="H552" t="s">
        <v>59</v>
      </c>
      <c r="I552" s="2">
        <v>45261</v>
      </c>
      <c r="J552">
        <v>712.68</v>
      </c>
      <c r="K552">
        <v>29.2</v>
      </c>
      <c r="L552" t="s">
        <v>19</v>
      </c>
      <c r="M552">
        <f t="shared" si="24"/>
        <v>0</v>
      </c>
      <c r="N552">
        <f t="shared" si="25"/>
        <v>712.68</v>
      </c>
      <c r="O552">
        <f t="shared" si="26"/>
        <v>-712.68</v>
      </c>
    </row>
    <row r="553" spans="1:15" x14ac:dyDescent="0.2">
      <c r="A553" t="s">
        <v>60</v>
      </c>
      <c r="B553">
        <v>60563</v>
      </c>
      <c r="C553" t="s">
        <v>24</v>
      </c>
      <c r="D553" t="s">
        <v>14</v>
      </c>
      <c r="E553" s="3">
        <v>44884</v>
      </c>
      <c r="F553" t="s">
        <v>39</v>
      </c>
      <c r="G553" s="2">
        <v>44948</v>
      </c>
      <c r="H553" t="s">
        <v>61</v>
      </c>
      <c r="I553" s="2">
        <v>45261</v>
      </c>
      <c r="J553">
        <v>756.79</v>
      </c>
      <c r="K553">
        <v>29.2</v>
      </c>
      <c r="L553" t="s">
        <v>19</v>
      </c>
      <c r="M553">
        <f t="shared" si="24"/>
        <v>0</v>
      </c>
      <c r="N553">
        <f t="shared" si="25"/>
        <v>756.79</v>
      </c>
      <c r="O553">
        <f t="shared" si="26"/>
        <v>-756.79</v>
      </c>
    </row>
    <row r="554" spans="1:15" x14ac:dyDescent="0.2">
      <c r="A554" t="s">
        <v>62</v>
      </c>
      <c r="B554">
        <v>60565</v>
      </c>
      <c r="C554" t="s">
        <v>24</v>
      </c>
      <c r="D554" t="s">
        <v>18</v>
      </c>
      <c r="E554" s="3">
        <v>44709</v>
      </c>
      <c r="F554" t="s">
        <v>33</v>
      </c>
      <c r="G554" s="2">
        <v>45054</v>
      </c>
      <c r="H554" t="s">
        <v>63</v>
      </c>
      <c r="I554" s="2">
        <v>44562</v>
      </c>
      <c r="J554">
        <v>690.47</v>
      </c>
      <c r="K554">
        <v>43</v>
      </c>
      <c r="L554" t="s">
        <v>16</v>
      </c>
      <c r="M554">
        <f t="shared" si="24"/>
        <v>690.47</v>
      </c>
      <c r="N554">
        <f t="shared" si="25"/>
        <v>0</v>
      </c>
      <c r="O554">
        <f t="shared" si="26"/>
        <v>690.47</v>
      </c>
    </row>
    <row r="555" spans="1:15" x14ac:dyDescent="0.2">
      <c r="A555" t="s">
        <v>62</v>
      </c>
      <c r="B555">
        <v>60565</v>
      </c>
      <c r="C555" t="s">
        <v>24</v>
      </c>
      <c r="D555" t="s">
        <v>18</v>
      </c>
      <c r="E555" s="3">
        <v>44709</v>
      </c>
      <c r="F555" t="s">
        <v>33</v>
      </c>
      <c r="G555" s="2">
        <v>45054</v>
      </c>
      <c r="H555" t="s">
        <v>63</v>
      </c>
      <c r="I555" s="2">
        <v>44593</v>
      </c>
      <c r="J555">
        <v>873.3</v>
      </c>
      <c r="K555">
        <v>26.4</v>
      </c>
      <c r="L555" t="s">
        <v>19</v>
      </c>
      <c r="M555">
        <f t="shared" si="24"/>
        <v>873.3</v>
      </c>
      <c r="N555">
        <f t="shared" si="25"/>
        <v>0</v>
      </c>
      <c r="O555">
        <f t="shared" si="26"/>
        <v>873.3</v>
      </c>
    </row>
    <row r="556" spans="1:15" x14ac:dyDescent="0.2">
      <c r="A556" t="s">
        <v>62</v>
      </c>
      <c r="B556">
        <v>60565</v>
      </c>
      <c r="C556" t="s">
        <v>24</v>
      </c>
      <c r="D556" t="s">
        <v>18</v>
      </c>
      <c r="E556" s="3">
        <v>44709</v>
      </c>
      <c r="F556" t="s">
        <v>33</v>
      </c>
      <c r="G556" s="2">
        <v>45054</v>
      </c>
      <c r="H556" t="s">
        <v>63</v>
      </c>
      <c r="I556" s="2">
        <v>44621</v>
      </c>
      <c r="J556">
        <v>664.27</v>
      </c>
      <c r="K556">
        <v>29.5</v>
      </c>
      <c r="L556" t="s">
        <v>19</v>
      </c>
      <c r="M556">
        <f t="shared" si="24"/>
        <v>664.27</v>
      </c>
      <c r="N556">
        <f t="shared" si="25"/>
        <v>0</v>
      </c>
      <c r="O556">
        <f t="shared" si="26"/>
        <v>664.27</v>
      </c>
    </row>
    <row r="557" spans="1:15" x14ac:dyDescent="0.2">
      <c r="A557" t="s">
        <v>62</v>
      </c>
      <c r="B557">
        <v>60565</v>
      </c>
      <c r="C557" t="s">
        <v>24</v>
      </c>
      <c r="D557" t="s">
        <v>18</v>
      </c>
      <c r="E557" s="3">
        <v>44709</v>
      </c>
      <c r="F557" t="s">
        <v>33</v>
      </c>
      <c r="G557" s="2">
        <v>45054</v>
      </c>
      <c r="H557" t="s">
        <v>63</v>
      </c>
      <c r="I557" s="2">
        <v>44652</v>
      </c>
      <c r="J557">
        <v>781.09</v>
      </c>
      <c r="K557">
        <v>50.8</v>
      </c>
      <c r="L557" t="s">
        <v>16</v>
      </c>
      <c r="M557">
        <f t="shared" si="24"/>
        <v>781.09</v>
      </c>
      <c r="N557">
        <f t="shared" si="25"/>
        <v>0</v>
      </c>
      <c r="O557">
        <f t="shared" si="26"/>
        <v>781.09</v>
      </c>
    </row>
    <row r="558" spans="1:15" x14ac:dyDescent="0.2">
      <c r="A558" t="s">
        <v>62</v>
      </c>
      <c r="B558">
        <v>60565</v>
      </c>
      <c r="C558" t="s">
        <v>24</v>
      </c>
      <c r="D558" t="s">
        <v>18</v>
      </c>
      <c r="E558" s="3">
        <v>44709</v>
      </c>
      <c r="F558" t="s">
        <v>33</v>
      </c>
      <c r="G558" s="2">
        <v>45054</v>
      </c>
      <c r="H558" t="s">
        <v>63</v>
      </c>
      <c r="I558" s="2">
        <v>44682</v>
      </c>
      <c r="J558">
        <v>785.65</v>
      </c>
      <c r="K558">
        <v>46.3</v>
      </c>
      <c r="L558" t="s">
        <v>16</v>
      </c>
      <c r="M558">
        <f t="shared" si="24"/>
        <v>785.65</v>
      </c>
      <c r="N558">
        <f t="shared" si="25"/>
        <v>0</v>
      </c>
      <c r="O558">
        <f t="shared" si="26"/>
        <v>785.65</v>
      </c>
    </row>
    <row r="559" spans="1:15" x14ac:dyDescent="0.2">
      <c r="A559" t="s">
        <v>62</v>
      </c>
      <c r="B559">
        <v>60565</v>
      </c>
      <c r="C559" t="s">
        <v>24</v>
      </c>
      <c r="D559" t="s">
        <v>18</v>
      </c>
      <c r="E559" s="3">
        <v>44709</v>
      </c>
      <c r="F559" t="s">
        <v>33</v>
      </c>
      <c r="G559" s="2">
        <v>45054</v>
      </c>
      <c r="H559" t="s">
        <v>63</v>
      </c>
      <c r="I559" s="2">
        <v>44713</v>
      </c>
      <c r="J559">
        <v>747.13</v>
      </c>
      <c r="K559">
        <v>61.1</v>
      </c>
      <c r="L559" t="s">
        <v>16</v>
      </c>
      <c r="M559">
        <f t="shared" si="24"/>
        <v>747.13</v>
      </c>
      <c r="N559">
        <f t="shared" si="25"/>
        <v>0</v>
      </c>
      <c r="O559">
        <f t="shared" si="26"/>
        <v>747.13</v>
      </c>
    </row>
    <row r="560" spans="1:15" x14ac:dyDescent="0.2">
      <c r="A560" t="s">
        <v>62</v>
      </c>
      <c r="B560">
        <v>60565</v>
      </c>
      <c r="C560" t="s">
        <v>24</v>
      </c>
      <c r="D560" t="s">
        <v>18</v>
      </c>
      <c r="E560" s="3">
        <v>44709</v>
      </c>
      <c r="F560" t="s">
        <v>33</v>
      </c>
      <c r="G560" s="2">
        <v>45054</v>
      </c>
      <c r="H560" t="s">
        <v>63</v>
      </c>
      <c r="I560" s="2">
        <v>44743</v>
      </c>
      <c r="J560">
        <v>604.89</v>
      </c>
      <c r="K560">
        <v>27.4</v>
      </c>
      <c r="L560" t="s">
        <v>19</v>
      </c>
      <c r="M560">
        <f t="shared" si="24"/>
        <v>604.89</v>
      </c>
      <c r="N560">
        <f t="shared" si="25"/>
        <v>0</v>
      </c>
      <c r="O560">
        <f t="shared" si="26"/>
        <v>604.89</v>
      </c>
    </row>
    <row r="561" spans="1:15" x14ac:dyDescent="0.2">
      <c r="A561" t="s">
        <v>62</v>
      </c>
      <c r="B561">
        <v>60565</v>
      </c>
      <c r="C561" t="s">
        <v>24</v>
      </c>
      <c r="D561" t="s">
        <v>18</v>
      </c>
      <c r="E561" s="3">
        <v>44709</v>
      </c>
      <c r="F561" t="s">
        <v>33</v>
      </c>
      <c r="G561" s="2">
        <v>45054</v>
      </c>
      <c r="H561" t="s">
        <v>63</v>
      </c>
      <c r="I561" s="2">
        <v>44774</v>
      </c>
      <c r="J561">
        <v>737.11</v>
      </c>
      <c r="K561">
        <v>54.2</v>
      </c>
      <c r="L561" t="s">
        <v>16</v>
      </c>
      <c r="M561">
        <f t="shared" si="24"/>
        <v>737.11</v>
      </c>
      <c r="N561">
        <f t="shared" si="25"/>
        <v>0</v>
      </c>
      <c r="O561">
        <f t="shared" si="26"/>
        <v>737.11</v>
      </c>
    </row>
    <row r="562" spans="1:15" x14ac:dyDescent="0.2">
      <c r="A562" t="s">
        <v>62</v>
      </c>
      <c r="B562">
        <v>60565</v>
      </c>
      <c r="C562" t="s">
        <v>24</v>
      </c>
      <c r="D562" t="s">
        <v>18</v>
      </c>
      <c r="E562" s="3">
        <v>44709</v>
      </c>
      <c r="F562" t="s">
        <v>33</v>
      </c>
      <c r="G562" s="2">
        <v>45054</v>
      </c>
      <c r="H562" t="s">
        <v>63</v>
      </c>
      <c r="I562" s="2">
        <v>44805</v>
      </c>
      <c r="J562">
        <v>717.5</v>
      </c>
      <c r="K562">
        <v>41.9</v>
      </c>
      <c r="L562" t="s">
        <v>16</v>
      </c>
      <c r="M562">
        <f t="shared" si="24"/>
        <v>717.5</v>
      </c>
      <c r="N562">
        <f t="shared" si="25"/>
        <v>0</v>
      </c>
      <c r="O562">
        <f t="shared" si="26"/>
        <v>717.5</v>
      </c>
    </row>
    <row r="563" spans="1:15" x14ac:dyDescent="0.2">
      <c r="A563" t="s">
        <v>62</v>
      </c>
      <c r="B563">
        <v>60565</v>
      </c>
      <c r="C563" t="s">
        <v>24</v>
      </c>
      <c r="D563" t="s">
        <v>18</v>
      </c>
      <c r="E563" s="3">
        <v>44709</v>
      </c>
      <c r="F563" t="s">
        <v>33</v>
      </c>
      <c r="G563" s="2">
        <v>45054</v>
      </c>
      <c r="H563" t="s">
        <v>63</v>
      </c>
      <c r="I563" s="2">
        <v>44835</v>
      </c>
      <c r="J563">
        <v>816.14</v>
      </c>
      <c r="K563">
        <v>74.099999999999994</v>
      </c>
      <c r="L563" t="s">
        <v>20</v>
      </c>
      <c r="M563">
        <f t="shared" si="24"/>
        <v>816.14</v>
      </c>
      <c r="N563">
        <f t="shared" si="25"/>
        <v>0</v>
      </c>
      <c r="O563">
        <f t="shared" si="26"/>
        <v>816.14</v>
      </c>
    </row>
    <row r="564" spans="1:15" x14ac:dyDescent="0.2">
      <c r="A564" t="s">
        <v>62</v>
      </c>
      <c r="B564">
        <v>60565</v>
      </c>
      <c r="C564" t="s">
        <v>24</v>
      </c>
      <c r="D564" t="s">
        <v>18</v>
      </c>
      <c r="E564" s="3">
        <v>44709</v>
      </c>
      <c r="F564" t="s">
        <v>33</v>
      </c>
      <c r="G564" s="2">
        <v>45054</v>
      </c>
      <c r="H564" t="s">
        <v>63</v>
      </c>
      <c r="I564" s="2">
        <v>44866</v>
      </c>
      <c r="J564">
        <v>811.05</v>
      </c>
      <c r="K564">
        <v>42.6</v>
      </c>
      <c r="L564" t="s">
        <v>16</v>
      </c>
      <c r="M564">
        <f t="shared" si="24"/>
        <v>811.05</v>
      </c>
      <c r="N564">
        <f t="shared" si="25"/>
        <v>0</v>
      </c>
      <c r="O564">
        <f t="shared" si="26"/>
        <v>811.05</v>
      </c>
    </row>
    <row r="565" spans="1:15" x14ac:dyDescent="0.2">
      <c r="A565" t="s">
        <v>62</v>
      </c>
      <c r="B565">
        <v>60565</v>
      </c>
      <c r="C565" t="s">
        <v>24</v>
      </c>
      <c r="D565" t="s">
        <v>18</v>
      </c>
      <c r="E565" s="3">
        <v>44709</v>
      </c>
      <c r="F565" t="s">
        <v>33</v>
      </c>
      <c r="G565" s="2">
        <v>45054</v>
      </c>
      <c r="H565" t="s">
        <v>63</v>
      </c>
      <c r="I565" s="2">
        <v>44896</v>
      </c>
      <c r="J565">
        <v>837.8</v>
      </c>
      <c r="K565">
        <v>52.3</v>
      </c>
      <c r="L565" t="s">
        <v>16</v>
      </c>
      <c r="M565">
        <f t="shared" si="24"/>
        <v>837.8</v>
      </c>
      <c r="N565">
        <f t="shared" si="25"/>
        <v>0</v>
      </c>
      <c r="O565">
        <f t="shared" si="26"/>
        <v>837.8</v>
      </c>
    </row>
    <row r="566" spans="1:15" x14ac:dyDescent="0.2">
      <c r="A566" t="s">
        <v>62</v>
      </c>
      <c r="B566">
        <v>60565</v>
      </c>
      <c r="C566" t="s">
        <v>24</v>
      </c>
      <c r="D566" t="s">
        <v>18</v>
      </c>
      <c r="E566" s="3">
        <v>44709</v>
      </c>
      <c r="F566" t="s">
        <v>33</v>
      </c>
      <c r="G566" s="2">
        <v>45054</v>
      </c>
      <c r="H566" t="s">
        <v>63</v>
      </c>
      <c r="I566" s="2">
        <v>44927</v>
      </c>
      <c r="J566">
        <v>632.4</v>
      </c>
      <c r="K566">
        <v>76.2</v>
      </c>
      <c r="L566" t="s">
        <v>20</v>
      </c>
      <c r="M566">
        <f t="shared" si="24"/>
        <v>632.4</v>
      </c>
      <c r="N566">
        <f t="shared" si="25"/>
        <v>0</v>
      </c>
      <c r="O566">
        <f t="shared" si="26"/>
        <v>632.4</v>
      </c>
    </row>
    <row r="567" spans="1:15" x14ac:dyDescent="0.2">
      <c r="A567" t="s">
        <v>62</v>
      </c>
      <c r="B567">
        <v>60565</v>
      </c>
      <c r="C567" t="s">
        <v>24</v>
      </c>
      <c r="D567" t="s">
        <v>18</v>
      </c>
      <c r="E567" s="3">
        <v>44709</v>
      </c>
      <c r="F567" t="s">
        <v>33</v>
      </c>
      <c r="G567" s="2">
        <v>45054</v>
      </c>
      <c r="H567" t="s">
        <v>63</v>
      </c>
      <c r="I567" s="2">
        <v>44958</v>
      </c>
      <c r="J567">
        <v>752.28</v>
      </c>
      <c r="K567">
        <v>73.7</v>
      </c>
      <c r="L567" t="s">
        <v>20</v>
      </c>
      <c r="M567">
        <f t="shared" si="24"/>
        <v>752.28</v>
      </c>
      <c r="N567">
        <f t="shared" si="25"/>
        <v>0</v>
      </c>
      <c r="O567">
        <f t="shared" si="26"/>
        <v>752.28</v>
      </c>
    </row>
    <row r="568" spans="1:15" x14ac:dyDescent="0.2">
      <c r="A568" t="s">
        <v>62</v>
      </c>
      <c r="B568">
        <v>60565</v>
      </c>
      <c r="C568" t="s">
        <v>24</v>
      </c>
      <c r="D568" t="s">
        <v>18</v>
      </c>
      <c r="E568" s="3">
        <v>44709</v>
      </c>
      <c r="F568" t="s">
        <v>33</v>
      </c>
      <c r="G568" s="2">
        <v>45054</v>
      </c>
      <c r="H568" t="s">
        <v>63</v>
      </c>
      <c r="I568" s="2">
        <v>44986</v>
      </c>
      <c r="J568">
        <v>544.4</v>
      </c>
      <c r="K568">
        <v>52.8</v>
      </c>
      <c r="L568" t="s">
        <v>16</v>
      </c>
      <c r="M568">
        <f t="shared" si="24"/>
        <v>544.4</v>
      </c>
      <c r="N568">
        <f t="shared" si="25"/>
        <v>0</v>
      </c>
      <c r="O568">
        <f t="shared" si="26"/>
        <v>544.4</v>
      </c>
    </row>
    <row r="569" spans="1:15" x14ac:dyDescent="0.2">
      <c r="A569" t="s">
        <v>62</v>
      </c>
      <c r="B569">
        <v>60565</v>
      </c>
      <c r="C569" t="s">
        <v>24</v>
      </c>
      <c r="D569" t="s">
        <v>18</v>
      </c>
      <c r="E569" s="3">
        <v>44709</v>
      </c>
      <c r="F569" t="s">
        <v>33</v>
      </c>
      <c r="G569" s="2">
        <v>45054</v>
      </c>
      <c r="H569" t="s">
        <v>63</v>
      </c>
      <c r="I569" s="2">
        <v>45017</v>
      </c>
      <c r="J569">
        <v>517.80999999999995</v>
      </c>
      <c r="K569">
        <v>103.1</v>
      </c>
      <c r="L569" t="s">
        <v>20</v>
      </c>
      <c r="M569">
        <f t="shared" si="24"/>
        <v>517.80999999999995</v>
      </c>
      <c r="N569">
        <f t="shared" si="25"/>
        <v>0</v>
      </c>
      <c r="O569">
        <f t="shared" si="26"/>
        <v>517.80999999999995</v>
      </c>
    </row>
    <row r="570" spans="1:15" x14ac:dyDescent="0.2">
      <c r="A570" t="s">
        <v>62</v>
      </c>
      <c r="B570">
        <v>60565</v>
      </c>
      <c r="C570" t="s">
        <v>24</v>
      </c>
      <c r="D570" t="s">
        <v>18</v>
      </c>
      <c r="E570" s="3">
        <v>44709</v>
      </c>
      <c r="F570" t="s">
        <v>33</v>
      </c>
      <c r="G570" s="2">
        <v>45054</v>
      </c>
      <c r="H570" t="s">
        <v>63</v>
      </c>
      <c r="I570" s="2">
        <v>45047</v>
      </c>
      <c r="J570">
        <v>466.44</v>
      </c>
      <c r="K570">
        <v>40.6</v>
      </c>
      <c r="L570" t="s">
        <v>16</v>
      </c>
      <c r="M570">
        <f t="shared" si="24"/>
        <v>466.44</v>
      </c>
      <c r="N570">
        <f t="shared" si="25"/>
        <v>0</v>
      </c>
      <c r="O570">
        <f t="shared" si="26"/>
        <v>466.44</v>
      </c>
    </row>
    <row r="571" spans="1:15" x14ac:dyDescent="0.2">
      <c r="A571" t="s">
        <v>62</v>
      </c>
      <c r="B571">
        <v>60565</v>
      </c>
      <c r="C571" t="s">
        <v>24</v>
      </c>
      <c r="D571" t="s">
        <v>18</v>
      </c>
      <c r="E571" s="3">
        <v>44709</v>
      </c>
      <c r="F571" t="s">
        <v>33</v>
      </c>
      <c r="G571" s="2">
        <v>45054</v>
      </c>
      <c r="H571" t="s">
        <v>63</v>
      </c>
      <c r="I571" s="2">
        <v>45078</v>
      </c>
      <c r="J571">
        <v>650.07000000000005</v>
      </c>
      <c r="K571">
        <v>76</v>
      </c>
      <c r="L571" t="s">
        <v>20</v>
      </c>
      <c r="M571">
        <f t="shared" si="24"/>
        <v>0</v>
      </c>
      <c r="N571">
        <f t="shared" si="25"/>
        <v>650.07000000000005</v>
      </c>
      <c r="O571">
        <f t="shared" si="26"/>
        <v>-650.07000000000005</v>
      </c>
    </row>
    <row r="572" spans="1:15" x14ac:dyDescent="0.2">
      <c r="A572" t="s">
        <v>62</v>
      </c>
      <c r="B572">
        <v>60565</v>
      </c>
      <c r="C572" t="s">
        <v>24</v>
      </c>
      <c r="D572" t="s">
        <v>18</v>
      </c>
      <c r="E572" s="3">
        <v>44709</v>
      </c>
      <c r="F572" t="s">
        <v>33</v>
      </c>
      <c r="G572" s="2">
        <v>45054</v>
      </c>
      <c r="H572" t="s">
        <v>63</v>
      </c>
      <c r="I572" s="2">
        <v>45108</v>
      </c>
      <c r="J572">
        <v>624.66999999999996</v>
      </c>
      <c r="K572">
        <v>38.9</v>
      </c>
      <c r="L572" t="s">
        <v>19</v>
      </c>
      <c r="M572">
        <f t="shared" si="24"/>
        <v>0</v>
      </c>
      <c r="N572">
        <f t="shared" si="25"/>
        <v>624.66999999999996</v>
      </c>
      <c r="O572">
        <f t="shared" si="26"/>
        <v>-624.66999999999996</v>
      </c>
    </row>
    <row r="573" spans="1:15" x14ac:dyDescent="0.2">
      <c r="A573" t="s">
        <v>62</v>
      </c>
      <c r="B573">
        <v>60565</v>
      </c>
      <c r="C573" t="s">
        <v>24</v>
      </c>
      <c r="D573" t="s">
        <v>18</v>
      </c>
      <c r="E573" s="3">
        <v>44709</v>
      </c>
      <c r="F573" t="s">
        <v>33</v>
      </c>
      <c r="G573" s="2">
        <v>45054</v>
      </c>
      <c r="H573" t="s">
        <v>63</v>
      </c>
      <c r="I573" s="2">
        <v>45139</v>
      </c>
      <c r="J573">
        <v>778.93</v>
      </c>
      <c r="K573">
        <v>80</v>
      </c>
      <c r="L573" t="s">
        <v>20</v>
      </c>
      <c r="M573">
        <f t="shared" si="24"/>
        <v>0</v>
      </c>
      <c r="N573">
        <f t="shared" si="25"/>
        <v>778.93</v>
      </c>
      <c r="O573">
        <f t="shared" si="26"/>
        <v>-778.93</v>
      </c>
    </row>
    <row r="574" spans="1:15" x14ac:dyDescent="0.2">
      <c r="A574" t="s">
        <v>62</v>
      </c>
      <c r="B574">
        <v>60565</v>
      </c>
      <c r="C574" t="s">
        <v>24</v>
      </c>
      <c r="D574" t="s">
        <v>18</v>
      </c>
      <c r="E574" s="3">
        <v>44709</v>
      </c>
      <c r="F574" t="s">
        <v>33</v>
      </c>
      <c r="G574" s="2">
        <v>45054</v>
      </c>
      <c r="H574" t="s">
        <v>63</v>
      </c>
      <c r="I574" s="2">
        <v>45170</v>
      </c>
      <c r="J574">
        <v>635.13</v>
      </c>
      <c r="K574">
        <v>84.9</v>
      </c>
      <c r="L574" t="s">
        <v>20</v>
      </c>
      <c r="M574">
        <f t="shared" si="24"/>
        <v>0</v>
      </c>
      <c r="N574">
        <f t="shared" si="25"/>
        <v>635.13</v>
      </c>
      <c r="O574">
        <f t="shared" si="26"/>
        <v>-635.13</v>
      </c>
    </row>
    <row r="575" spans="1:15" x14ac:dyDescent="0.2">
      <c r="A575" t="s">
        <v>62</v>
      </c>
      <c r="B575">
        <v>60565</v>
      </c>
      <c r="C575" t="s">
        <v>24</v>
      </c>
      <c r="D575" t="s">
        <v>18</v>
      </c>
      <c r="E575" s="3">
        <v>44709</v>
      </c>
      <c r="F575" t="s">
        <v>33</v>
      </c>
      <c r="G575" s="2">
        <v>45054</v>
      </c>
      <c r="H575" t="s">
        <v>63</v>
      </c>
      <c r="I575" s="2">
        <v>45200</v>
      </c>
      <c r="J575">
        <v>727.34</v>
      </c>
      <c r="K575">
        <v>80.8</v>
      </c>
      <c r="L575" t="s">
        <v>20</v>
      </c>
      <c r="M575">
        <f t="shared" si="24"/>
        <v>0</v>
      </c>
      <c r="N575">
        <f t="shared" si="25"/>
        <v>727.34</v>
      </c>
      <c r="O575">
        <f t="shared" si="26"/>
        <v>-727.34</v>
      </c>
    </row>
    <row r="576" spans="1:15" x14ac:dyDescent="0.2">
      <c r="A576" t="s">
        <v>62</v>
      </c>
      <c r="B576">
        <v>60565</v>
      </c>
      <c r="C576" t="s">
        <v>24</v>
      </c>
      <c r="D576" t="s">
        <v>18</v>
      </c>
      <c r="E576" s="3">
        <v>44709</v>
      </c>
      <c r="F576" t="s">
        <v>33</v>
      </c>
      <c r="G576" s="2">
        <v>45054</v>
      </c>
      <c r="H576" t="s">
        <v>63</v>
      </c>
      <c r="I576" s="2">
        <v>45231</v>
      </c>
      <c r="J576">
        <v>781.33</v>
      </c>
      <c r="K576">
        <v>46.5</v>
      </c>
      <c r="L576" t="s">
        <v>16</v>
      </c>
      <c r="M576">
        <f t="shared" si="24"/>
        <v>0</v>
      </c>
      <c r="N576">
        <f t="shared" si="25"/>
        <v>781.33</v>
      </c>
      <c r="O576">
        <f t="shared" si="26"/>
        <v>-781.33</v>
      </c>
    </row>
    <row r="577" spans="1:15" x14ac:dyDescent="0.2">
      <c r="A577" t="s">
        <v>62</v>
      </c>
      <c r="B577">
        <v>60565</v>
      </c>
      <c r="C577" t="s">
        <v>24</v>
      </c>
      <c r="D577" t="s">
        <v>18</v>
      </c>
      <c r="E577" s="3">
        <v>44709</v>
      </c>
      <c r="F577" t="s">
        <v>33</v>
      </c>
      <c r="G577" s="2">
        <v>45054</v>
      </c>
      <c r="H577" t="s">
        <v>63</v>
      </c>
      <c r="I577" s="2">
        <v>45261</v>
      </c>
      <c r="J577">
        <v>631.37</v>
      </c>
      <c r="K577">
        <v>29.2</v>
      </c>
      <c r="L577" t="s">
        <v>19</v>
      </c>
      <c r="M577">
        <f t="shared" si="24"/>
        <v>0</v>
      </c>
      <c r="N577">
        <f t="shared" si="25"/>
        <v>631.37</v>
      </c>
      <c r="O577">
        <f t="shared" si="26"/>
        <v>-631.37</v>
      </c>
    </row>
    <row r="578" spans="1:15" x14ac:dyDescent="0.2">
      <c r="A578" t="s">
        <v>64</v>
      </c>
      <c r="B578">
        <v>60564</v>
      </c>
      <c r="C578" t="s">
        <v>24</v>
      </c>
      <c r="D578" t="s">
        <v>22</v>
      </c>
      <c r="E578" s="3">
        <v>44648</v>
      </c>
      <c r="F578" t="s">
        <v>39</v>
      </c>
      <c r="G578" s="2">
        <v>44797</v>
      </c>
      <c r="H578" t="s">
        <v>65</v>
      </c>
      <c r="I578" s="2">
        <v>44562</v>
      </c>
      <c r="J578">
        <v>681.67</v>
      </c>
      <c r="K578">
        <v>43</v>
      </c>
      <c r="L578" t="s">
        <v>16</v>
      </c>
      <c r="M578">
        <f t="shared" ref="M578:M641" si="27">SUMIFS(J578,I578, "&lt;" &amp;G578,I578,"&lt;&gt;",G578,"&lt;&gt;")</f>
        <v>681.67</v>
      </c>
      <c r="N578">
        <f t="shared" ref="N578:N641" si="28">SUMIFS(J578,I578, "&gt;=" &amp;G578,I578,"&lt;&gt;",G578,"&lt;&gt;")</f>
        <v>0</v>
      </c>
      <c r="O578">
        <f t="shared" ref="O578:O641" si="29">SUM(M578-N578)</f>
        <v>681.67</v>
      </c>
    </row>
    <row r="579" spans="1:15" x14ac:dyDescent="0.2">
      <c r="A579" t="s">
        <v>66</v>
      </c>
      <c r="B579">
        <v>60564</v>
      </c>
      <c r="C579" t="s">
        <v>24</v>
      </c>
      <c r="D579" t="s">
        <v>22</v>
      </c>
      <c r="E579" s="3">
        <v>44821</v>
      </c>
      <c r="F579" t="s">
        <v>46</v>
      </c>
      <c r="G579" s="2">
        <v>44890</v>
      </c>
      <c r="H579" t="s">
        <v>67</v>
      </c>
      <c r="I579" s="2">
        <v>44562</v>
      </c>
      <c r="J579">
        <v>923.02</v>
      </c>
      <c r="K579">
        <v>43</v>
      </c>
      <c r="L579" t="s">
        <v>16</v>
      </c>
      <c r="M579">
        <f t="shared" si="27"/>
        <v>923.02</v>
      </c>
      <c r="N579">
        <f t="shared" si="28"/>
        <v>0</v>
      </c>
      <c r="O579">
        <f t="shared" si="29"/>
        <v>923.02</v>
      </c>
    </row>
    <row r="580" spans="1:15" x14ac:dyDescent="0.2">
      <c r="A580" t="s">
        <v>68</v>
      </c>
      <c r="B580">
        <v>60565</v>
      </c>
      <c r="C580" t="s">
        <v>24</v>
      </c>
      <c r="D580" t="s">
        <v>22</v>
      </c>
      <c r="E580" s="3">
        <v>44722</v>
      </c>
      <c r="F580" t="s">
        <v>33</v>
      </c>
      <c r="G580" s="2">
        <v>44871</v>
      </c>
      <c r="H580" t="s">
        <v>69</v>
      </c>
      <c r="I580" s="2">
        <v>44562</v>
      </c>
      <c r="J580">
        <v>749.46</v>
      </c>
      <c r="K580">
        <v>43</v>
      </c>
      <c r="L580" t="s">
        <v>16</v>
      </c>
      <c r="M580">
        <f t="shared" si="27"/>
        <v>749.46</v>
      </c>
      <c r="N580">
        <f t="shared" si="28"/>
        <v>0</v>
      </c>
      <c r="O580">
        <f t="shared" si="29"/>
        <v>749.46</v>
      </c>
    </row>
    <row r="581" spans="1:15" x14ac:dyDescent="0.2">
      <c r="A581" t="s">
        <v>70</v>
      </c>
      <c r="B581">
        <v>60540</v>
      </c>
      <c r="C581" t="s">
        <v>24</v>
      </c>
      <c r="D581" t="s">
        <v>22</v>
      </c>
      <c r="E581" s="3">
        <v>44888</v>
      </c>
      <c r="F581" t="s">
        <v>46</v>
      </c>
      <c r="G581" s="2">
        <v>45022</v>
      </c>
      <c r="H581" t="s">
        <v>71</v>
      </c>
      <c r="I581" s="2">
        <v>44562</v>
      </c>
      <c r="J581">
        <v>679.09</v>
      </c>
      <c r="K581">
        <v>43</v>
      </c>
      <c r="L581" t="s">
        <v>16</v>
      </c>
      <c r="M581">
        <f t="shared" si="27"/>
        <v>679.09</v>
      </c>
      <c r="N581">
        <f t="shared" si="28"/>
        <v>0</v>
      </c>
      <c r="O581">
        <f t="shared" si="29"/>
        <v>679.09</v>
      </c>
    </row>
    <row r="582" spans="1:15" x14ac:dyDescent="0.2">
      <c r="A582" t="s">
        <v>72</v>
      </c>
      <c r="B582">
        <v>60564</v>
      </c>
      <c r="C582" t="s">
        <v>24</v>
      </c>
      <c r="D582" t="s">
        <v>22</v>
      </c>
      <c r="E582" s="3">
        <v>44735</v>
      </c>
      <c r="F582" t="s">
        <v>36</v>
      </c>
      <c r="G582" s="2">
        <v>44876</v>
      </c>
      <c r="H582" t="s">
        <v>73</v>
      </c>
      <c r="I582" s="2">
        <v>44562</v>
      </c>
      <c r="J582">
        <v>915.35</v>
      </c>
      <c r="K582">
        <v>43</v>
      </c>
      <c r="L582" t="s">
        <v>16</v>
      </c>
      <c r="M582">
        <f t="shared" si="27"/>
        <v>915.35</v>
      </c>
      <c r="N582">
        <f t="shared" si="28"/>
        <v>0</v>
      </c>
      <c r="O582">
        <f t="shared" si="29"/>
        <v>915.35</v>
      </c>
    </row>
    <row r="583" spans="1:15" x14ac:dyDescent="0.2">
      <c r="A583" t="s">
        <v>74</v>
      </c>
      <c r="B583">
        <v>60564</v>
      </c>
      <c r="C583" t="s">
        <v>24</v>
      </c>
      <c r="D583" t="s">
        <v>22</v>
      </c>
      <c r="E583" s="3">
        <v>44612</v>
      </c>
      <c r="F583" t="s">
        <v>36</v>
      </c>
      <c r="G583" s="2">
        <v>44890</v>
      </c>
      <c r="H583" t="s">
        <v>75</v>
      </c>
      <c r="I583" s="2">
        <v>44562</v>
      </c>
      <c r="J583">
        <v>762.53</v>
      </c>
      <c r="K583">
        <v>43</v>
      </c>
      <c r="L583" t="s">
        <v>16</v>
      </c>
      <c r="M583">
        <f t="shared" si="27"/>
        <v>762.53</v>
      </c>
      <c r="N583">
        <f t="shared" si="28"/>
        <v>0</v>
      </c>
      <c r="O583">
        <f t="shared" si="29"/>
        <v>762.53</v>
      </c>
    </row>
    <row r="584" spans="1:15" x14ac:dyDescent="0.2">
      <c r="A584" t="s">
        <v>76</v>
      </c>
      <c r="B584">
        <v>60565</v>
      </c>
      <c r="C584" t="s">
        <v>24</v>
      </c>
      <c r="D584" t="s">
        <v>22</v>
      </c>
      <c r="E584" s="3">
        <v>44714</v>
      </c>
      <c r="F584" t="s">
        <v>33</v>
      </c>
      <c r="G584" s="2">
        <v>44860</v>
      </c>
      <c r="H584" t="s">
        <v>77</v>
      </c>
      <c r="I584" s="2">
        <v>44562</v>
      </c>
      <c r="J584">
        <v>713.14</v>
      </c>
      <c r="K584">
        <v>43</v>
      </c>
      <c r="L584" t="s">
        <v>16</v>
      </c>
      <c r="M584">
        <f t="shared" si="27"/>
        <v>713.14</v>
      </c>
      <c r="N584">
        <f t="shared" si="28"/>
        <v>0</v>
      </c>
      <c r="O584">
        <f t="shared" si="29"/>
        <v>713.14</v>
      </c>
    </row>
    <row r="585" spans="1:15" x14ac:dyDescent="0.2">
      <c r="A585" t="s">
        <v>64</v>
      </c>
      <c r="B585">
        <v>60564</v>
      </c>
      <c r="C585" t="s">
        <v>24</v>
      </c>
      <c r="D585" t="s">
        <v>22</v>
      </c>
      <c r="E585" s="3">
        <v>44648</v>
      </c>
      <c r="F585" t="s">
        <v>39</v>
      </c>
      <c r="G585" s="2">
        <v>44797</v>
      </c>
      <c r="H585" t="s">
        <v>65</v>
      </c>
      <c r="I585" s="2">
        <v>44593</v>
      </c>
      <c r="J585">
        <v>849.5</v>
      </c>
      <c r="K585">
        <v>26.4</v>
      </c>
      <c r="L585" t="s">
        <v>19</v>
      </c>
      <c r="M585">
        <f t="shared" si="27"/>
        <v>849.5</v>
      </c>
      <c r="N585">
        <f t="shared" si="28"/>
        <v>0</v>
      </c>
      <c r="O585">
        <f t="shared" si="29"/>
        <v>849.5</v>
      </c>
    </row>
    <row r="586" spans="1:15" x14ac:dyDescent="0.2">
      <c r="A586" t="s">
        <v>66</v>
      </c>
      <c r="B586">
        <v>60564</v>
      </c>
      <c r="C586" t="s">
        <v>24</v>
      </c>
      <c r="D586" t="s">
        <v>22</v>
      </c>
      <c r="E586" s="3">
        <v>44821</v>
      </c>
      <c r="F586" t="s">
        <v>46</v>
      </c>
      <c r="G586" s="2">
        <v>44890</v>
      </c>
      <c r="H586" t="s">
        <v>67</v>
      </c>
      <c r="I586" s="2">
        <v>44593</v>
      </c>
      <c r="J586">
        <v>670.88</v>
      </c>
      <c r="K586">
        <v>26.4</v>
      </c>
      <c r="L586" t="s">
        <v>19</v>
      </c>
      <c r="M586">
        <f t="shared" si="27"/>
        <v>670.88</v>
      </c>
      <c r="N586">
        <f t="shared" si="28"/>
        <v>0</v>
      </c>
      <c r="O586">
        <f t="shared" si="29"/>
        <v>670.88</v>
      </c>
    </row>
    <row r="587" spans="1:15" x14ac:dyDescent="0.2">
      <c r="A587" t="s">
        <v>68</v>
      </c>
      <c r="B587">
        <v>60565</v>
      </c>
      <c r="C587" t="s">
        <v>24</v>
      </c>
      <c r="D587" t="s">
        <v>22</v>
      </c>
      <c r="E587" s="3">
        <v>44722</v>
      </c>
      <c r="F587" t="s">
        <v>33</v>
      </c>
      <c r="G587" s="2">
        <v>44871</v>
      </c>
      <c r="H587" t="s">
        <v>69</v>
      </c>
      <c r="I587" s="2">
        <v>44593</v>
      </c>
      <c r="J587">
        <v>664.32</v>
      </c>
      <c r="K587">
        <v>26.4</v>
      </c>
      <c r="L587" t="s">
        <v>19</v>
      </c>
      <c r="M587">
        <f t="shared" si="27"/>
        <v>664.32</v>
      </c>
      <c r="N587">
        <f t="shared" si="28"/>
        <v>0</v>
      </c>
      <c r="O587">
        <f t="shared" si="29"/>
        <v>664.32</v>
      </c>
    </row>
    <row r="588" spans="1:15" x14ac:dyDescent="0.2">
      <c r="A588" t="s">
        <v>70</v>
      </c>
      <c r="B588">
        <v>60540</v>
      </c>
      <c r="C588" t="s">
        <v>24</v>
      </c>
      <c r="D588" t="s">
        <v>22</v>
      </c>
      <c r="E588" s="3">
        <v>44888</v>
      </c>
      <c r="F588" t="s">
        <v>46</v>
      </c>
      <c r="G588" s="2">
        <v>45022</v>
      </c>
      <c r="H588" t="s">
        <v>71</v>
      </c>
      <c r="I588" s="2">
        <v>44593</v>
      </c>
      <c r="J588">
        <v>958.91</v>
      </c>
      <c r="K588">
        <v>26.4</v>
      </c>
      <c r="L588" t="s">
        <v>19</v>
      </c>
      <c r="M588">
        <f t="shared" si="27"/>
        <v>958.91</v>
      </c>
      <c r="N588">
        <f t="shared" si="28"/>
        <v>0</v>
      </c>
      <c r="O588">
        <f t="shared" si="29"/>
        <v>958.91</v>
      </c>
    </row>
    <row r="589" spans="1:15" x14ac:dyDescent="0.2">
      <c r="A589" t="s">
        <v>72</v>
      </c>
      <c r="B589">
        <v>60564</v>
      </c>
      <c r="C589" t="s">
        <v>24</v>
      </c>
      <c r="D589" t="s">
        <v>22</v>
      </c>
      <c r="E589" s="3">
        <v>44735</v>
      </c>
      <c r="F589" t="s">
        <v>36</v>
      </c>
      <c r="G589" s="2">
        <v>44876</v>
      </c>
      <c r="H589" t="s">
        <v>73</v>
      </c>
      <c r="I589" s="2">
        <v>44593</v>
      </c>
      <c r="J589">
        <v>762.5</v>
      </c>
      <c r="K589">
        <v>26.4</v>
      </c>
      <c r="L589" t="s">
        <v>19</v>
      </c>
      <c r="M589">
        <f t="shared" si="27"/>
        <v>762.5</v>
      </c>
      <c r="N589">
        <f t="shared" si="28"/>
        <v>0</v>
      </c>
      <c r="O589">
        <f t="shared" si="29"/>
        <v>762.5</v>
      </c>
    </row>
    <row r="590" spans="1:15" x14ac:dyDescent="0.2">
      <c r="A590" t="s">
        <v>74</v>
      </c>
      <c r="B590">
        <v>60564</v>
      </c>
      <c r="C590" t="s">
        <v>24</v>
      </c>
      <c r="D590" t="s">
        <v>22</v>
      </c>
      <c r="E590" s="3">
        <v>44612</v>
      </c>
      <c r="F590" t="s">
        <v>36</v>
      </c>
      <c r="G590" s="2">
        <v>44890</v>
      </c>
      <c r="H590" t="s">
        <v>75</v>
      </c>
      <c r="I590" s="2">
        <v>44593</v>
      </c>
      <c r="J590">
        <v>718.13</v>
      </c>
      <c r="K590">
        <v>26.4</v>
      </c>
      <c r="L590" t="s">
        <v>19</v>
      </c>
      <c r="M590">
        <f t="shared" si="27"/>
        <v>718.13</v>
      </c>
      <c r="N590">
        <f t="shared" si="28"/>
        <v>0</v>
      </c>
      <c r="O590">
        <f t="shared" si="29"/>
        <v>718.13</v>
      </c>
    </row>
    <row r="591" spans="1:15" x14ac:dyDescent="0.2">
      <c r="A591" t="s">
        <v>76</v>
      </c>
      <c r="B591">
        <v>60565</v>
      </c>
      <c r="C591" t="s">
        <v>24</v>
      </c>
      <c r="D591" t="s">
        <v>22</v>
      </c>
      <c r="E591" s="3">
        <v>44714</v>
      </c>
      <c r="F591" t="s">
        <v>33</v>
      </c>
      <c r="G591" s="2">
        <v>44860</v>
      </c>
      <c r="H591" t="s">
        <v>77</v>
      </c>
      <c r="I591" s="2">
        <v>44593</v>
      </c>
      <c r="J591">
        <v>804.48</v>
      </c>
      <c r="K591">
        <v>26.4</v>
      </c>
      <c r="L591" t="s">
        <v>19</v>
      </c>
      <c r="M591">
        <f t="shared" si="27"/>
        <v>804.48</v>
      </c>
      <c r="N591">
        <f t="shared" si="28"/>
        <v>0</v>
      </c>
      <c r="O591">
        <f t="shared" si="29"/>
        <v>804.48</v>
      </c>
    </row>
    <row r="592" spans="1:15" x14ac:dyDescent="0.2">
      <c r="A592" t="s">
        <v>64</v>
      </c>
      <c r="B592">
        <v>60564</v>
      </c>
      <c r="C592" t="s">
        <v>24</v>
      </c>
      <c r="D592" t="s">
        <v>22</v>
      </c>
      <c r="E592" s="3">
        <v>44648</v>
      </c>
      <c r="F592" t="s">
        <v>39</v>
      </c>
      <c r="G592" s="2">
        <v>44797</v>
      </c>
      <c r="H592" t="s">
        <v>65</v>
      </c>
      <c r="I592" s="2">
        <v>44621</v>
      </c>
      <c r="J592">
        <v>783.47</v>
      </c>
      <c r="K592">
        <v>29.5</v>
      </c>
      <c r="L592" t="s">
        <v>19</v>
      </c>
      <c r="M592">
        <f t="shared" si="27"/>
        <v>783.47</v>
      </c>
      <c r="N592">
        <f t="shared" si="28"/>
        <v>0</v>
      </c>
      <c r="O592">
        <f t="shared" si="29"/>
        <v>783.47</v>
      </c>
    </row>
    <row r="593" spans="1:15" x14ac:dyDescent="0.2">
      <c r="A593" t="s">
        <v>66</v>
      </c>
      <c r="B593">
        <v>60564</v>
      </c>
      <c r="C593" t="s">
        <v>24</v>
      </c>
      <c r="D593" t="s">
        <v>22</v>
      </c>
      <c r="E593" s="3">
        <v>44821</v>
      </c>
      <c r="F593" t="s">
        <v>46</v>
      </c>
      <c r="G593" s="2">
        <v>44890</v>
      </c>
      <c r="H593" t="s">
        <v>67</v>
      </c>
      <c r="I593" s="2">
        <v>44621</v>
      </c>
      <c r="J593">
        <v>955.49</v>
      </c>
      <c r="K593">
        <v>29.5</v>
      </c>
      <c r="L593" t="s">
        <v>19</v>
      </c>
      <c r="M593">
        <f t="shared" si="27"/>
        <v>955.49</v>
      </c>
      <c r="N593">
        <f t="shared" si="28"/>
        <v>0</v>
      </c>
      <c r="O593">
        <f t="shared" si="29"/>
        <v>955.49</v>
      </c>
    </row>
    <row r="594" spans="1:15" x14ac:dyDescent="0.2">
      <c r="A594" t="s">
        <v>68</v>
      </c>
      <c r="B594">
        <v>60565</v>
      </c>
      <c r="C594" t="s">
        <v>24</v>
      </c>
      <c r="D594" t="s">
        <v>22</v>
      </c>
      <c r="E594" s="3">
        <v>44722</v>
      </c>
      <c r="F594" t="s">
        <v>33</v>
      </c>
      <c r="G594" s="2">
        <v>44871</v>
      </c>
      <c r="H594" t="s">
        <v>69</v>
      </c>
      <c r="I594" s="2">
        <v>44621</v>
      </c>
      <c r="J594">
        <v>641.83000000000004</v>
      </c>
      <c r="K594">
        <v>29.5</v>
      </c>
      <c r="L594" t="s">
        <v>19</v>
      </c>
      <c r="M594">
        <f t="shared" si="27"/>
        <v>641.83000000000004</v>
      </c>
      <c r="N594">
        <f t="shared" si="28"/>
        <v>0</v>
      </c>
      <c r="O594">
        <f t="shared" si="29"/>
        <v>641.83000000000004</v>
      </c>
    </row>
    <row r="595" spans="1:15" x14ac:dyDescent="0.2">
      <c r="A595" t="s">
        <v>70</v>
      </c>
      <c r="B595">
        <v>60540</v>
      </c>
      <c r="C595" t="s">
        <v>24</v>
      </c>
      <c r="D595" t="s">
        <v>22</v>
      </c>
      <c r="E595" s="3">
        <v>44888</v>
      </c>
      <c r="F595" t="s">
        <v>46</v>
      </c>
      <c r="G595" s="2">
        <v>45022</v>
      </c>
      <c r="H595" t="s">
        <v>71</v>
      </c>
      <c r="I595" s="2">
        <v>44621</v>
      </c>
      <c r="J595">
        <v>724.31</v>
      </c>
      <c r="K595">
        <v>29.5</v>
      </c>
      <c r="L595" t="s">
        <v>19</v>
      </c>
      <c r="M595">
        <f t="shared" si="27"/>
        <v>724.31</v>
      </c>
      <c r="N595">
        <f t="shared" si="28"/>
        <v>0</v>
      </c>
      <c r="O595">
        <f t="shared" si="29"/>
        <v>724.31</v>
      </c>
    </row>
    <row r="596" spans="1:15" x14ac:dyDescent="0.2">
      <c r="A596" t="s">
        <v>72</v>
      </c>
      <c r="B596">
        <v>60564</v>
      </c>
      <c r="C596" t="s">
        <v>24</v>
      </c>
      <c r="D596" t="s">
        <v>22</v>
      </c>
      <c r="E596" s="3">
        <v>44735</v>
      </c>
      <c r="F596" t="s">
        <v>36</v>
      </c>
      <c r="G596" s="2">
        <v>44876</v>
      </c>
      <c r="H596" t="s">
        <v>73</v>
      </c>
      <c r="I596" s="2">
        <v>44621</v>
      </c>
      <c r="J596">
        <v>730.59</v>
      </c>
      <c r="K596">
        <v>29.5</v>
      </c>
      <c r="L596" t="s">
        <v>19</v>
      </c>
      <c r="M596">
        <f t="shared" si="27"/>
        <v>730.59</v>
      </c>
      <c r="N596">
        <f t="shared" si="28"/>
        <v>0</v>
      </c>
      <c r="O596">
        <f t="shared" si="29"/>
        <v>730.59</v>
      </c>
    </row>
    <row r="597" spans="1:15" x14ac:dyDescent="0.2">
      <c r="A597" t="s">
        <v>74</v>
      </c>
      <c r="B597">
        <v>60564</v>
      </c>
      <c r="C597" t="s">
        <v>24</v>
      </c>
      <c r="D597" t="s">
        <v>22</v>
      </c>
      <c r="E597" s="3">
        <v>44612</v>
      </c>
      <c r="F597" t="s">
        <v>36</v>
      </c>
      <c r="G597" s="2">
        <v>44890</v>
      </c>
      <c r="H597" t="s">
        <v>75</v>
      </c>
      <c r="I597" s="2">
        <v>44621</v>
      </c>
      <c r="J597">
        <v>737.48</v>
      </c>
      <c r="K597">
        <v>29.5</v>
      </c>
      <c r="L597" t="s">
        <v>19</v>
      </c>
      <c r="M597">
        <f t="shared" si="27"/>
        <v>737.48</v>
      </c>
      <c r="N597">
        <f t="shared" si="28"/>
        <v>0</v>
      </c>
      <c r="O597">
        <f t="shared" si="29"/>
        <v>737.48</v>
      </c>
    </row>
    <row r="598" spans="1:15" x14ac:dyDescent="0.2">
      <c r="A598" t="s">
        <v>76</v>
      </c>
      <c r="B598">
        <v>60565</v>
      </c>
      <c r="C598" t="s">
        <v>24</v>
      </c>
      <c r="D598" t="s">
        <v>22</v>
      </c>
      <c r="E598" s="3">
        <v>44714</v>
      </c>
      <c r="F598" t="s">
        <v>33</v>
      </c>
      <c r="G598" s="2">
        <v>44860</v>
      </c>
      <c r="H598" t="s">
        <v>77</v>
      </c>
      <c r="I598" s="2">
        <v>44621</v>
      </c>
      <c r="J598">
        <v>928.45</v>
      </c>
      <c r="K598">
        <v>29.5</v>
      </c>
      <c r="L598" t="s">
        <v>19</v>
      </c>
      <c r="M598">
        <f t="shared" si="27"/>
        <v>928.45</v>
      </c>
      <c r="N598">
        <f t="shared" si="28"/>
        <v>0</v>
      </c>
      <c r="O598">
        <f t="shared" si="29"/>
        <v>928.45</v>
      </c>
    </row>
    <row r="599" spans="1:15" x14ac:dyDescent="0.2">
      <c r="A599" t="s">
        <v>64</v>
      </c>
      <c r="B599">
        <v>60564</v>
      </c>
      <c r="C599" t="s">
        <v>24</v>
      </c>
      <c r="D599" t="s">
        <v>22</v>
      </c>
      <c r="E599" s="3">
        <v>44648</v>
      </c>
      <c r="F599" t="s">
        <v>39</v>
      </c>
      <c r="G599" s="2">
        <v>44797</v>
      </c>
      <c r="H599" t="s">
        <v>65</v>
      </c>
      <c r="I599" s="2">
        <v>44652</v>
      </c>
      <c r="J599">
        <v>731.28</v>
      </c>
      <c r="K599">
        <v>50.8</v>
      </c>
      <c r="L599" t="s">
        <v>16</v>
      </c>
      <c r="M599">
        <f t="shared" si="27"/>
        <v>731.28</v>
      </c>
      <c r="N599">
        <f t="shared" si="28"/>
        <v>0</v>
      </c>
      <c r="O599">
        <f t="shared" si="29"/>
        <v>731.28</v>
      </c>
    </row>
    <row r="600" spans="1:15" x14ac:dyDescent="0.2">
      <c r="A600" t="s">
        <v>66</v>
      </c>
      <c r="B600">
        <v>60564</v>
      </c>
      <c r="C600" t="s">
        <v>24</v>
      </c>
      <c r="D600" t="s">
        <v>22</v>
      </c>
      <c r="E600" s="3">
        <v>44821</v>
      </c>
      <c r="F600" t="s">
        <v>46</v>
      </c>
      <c r="G600" s="2">
        <v>44890</v>
      </c>
      <c r="H600" t="s">
        <v>67</v>
      </c>
      <c r="I600" s="2">
        <v>44652</v>
      </c>
      <c r="J600">
        <v>701.88</v>
      </c>
      <c r="K600">
        <v>50.8</v>
      </c>
      <c r="L600" t="s">
        <v>16</v>
      </c>
      <c r="M600">
        <f t="shared" si="27"/>
        <v>701.88</v>
      </c>
      <c r="N600">
        <f t="shared" si="28"/>
        <v>0</v>
      </c>
      <c r="O600">
        <f t="shared" si="29"/>
        <v>701.88</v>
      </c>
    </row>
    <row r="601" spans="1:15" x14ac:dyDescent="0.2">
      <c r="A601" t="s">
        <v>68</v>
      </c>
      <c r="B601">
        <v>60565</v>
      </c>
      <c r="C601" t="s">
        <v>24</v>
      </c>
      <c r="D601" t="s">
        <v>22</v>
      </c>
      <c r="E601" s="3">
        <v>44722</v>
      </c>
      <c r="F601" t="s">
        <v>33</v>
      </c>
      <c r="G601" s="2">
        <v>44871</v>
      </c>
      <c r="H601" t="s">
        <v>69</v>
      </c>
      <c r="I601" s="2">
        <v>44652</v>
      </c>
      <c r="J601">
        <v>807.9</v>
      </c>
      <c r="K601">
        <v>50.8</v>
      </c>
      <c r="L601" t="s">
        <v>16</v>
      </c>
      <c r="M601">
        <f t="shared" si="27"/>
        <v>807.9</v>
      </c>
      <c r="N601">
        <f t="shared" si="28"/>
        <v>0</v>
      </c>
      <c r="O601">
        <f t="shared" si="29"/>
        <v>807.9</v>
      </c>
    </row>
    <row r="602" spans="1:15" x14ac:dyDescent="0.2">
      <c r="A602" t="s">
        <v>70</v>
      </c>
      <c r="B602">
        <v>60540</v>
      </c>
      <c r="C602" t="s">
        <v>24</v>
      </c>
      <c r="D602" t="s">
        <v>22</v>
      </c>
      <c r="E602" s="3">
        <v>44888</v>
      </c>
      <c r="F602" t="s">
        <v>46</v>
      </c>
      <c r="G602" s="2">
        <v>45022</v>
      </c>
      <c r="H602" t="s">
        <v>71</v>
      </c>
      <c r="I602" s="2">
        <v>44652</v>
      </c>
      <c r="J602">
        <v>712.49</v>
      </c>
      <c r="K602">
        <v>50.8</v>
      </c>
      <c r="L602" t="s">
        <v>16</v>
      </c>
      <c r="M602">
        <f t="shared" si="27"/>
        <v>712.49</v>
      </c>
      <c r="N602">
        <f t="shared" si="28"/>
        <v>0</v>
      </c>
      <c r="O602">
        <f t="shared" si="29"/>
        <v>712.49</v>
      </c>
    </row>
    <row r="603" spans="1:15" x14ac:dyDescent="0.2">
      <c r="A603" t="s">
        <v>72</v>
      </c>
      <c r="B603">
        <v>60564</v>
      </c>
      <c r="C603" t="s">
        <v>24</v>
      </c>
      <c r="D603" t="s">
        <v>22</v>
      </c>
      <c r="E603" s="3">
        <v>44735</v>
      </c>
      <c r="F603" t="s">
        <v>36</v>
      </c>
      <c r="G603" s="2">
        <v>44876</v>
      </c>
      <c r="H603" t="s">
        <v>73</v>
      </c>
      <c r="I603" s="2">
        <v>44652</v>
      </c>
      <c r="J603">
        <v>810.99</v>
      </c>
      <c r="K603">
        <v>50.8</v>
      </c>
      <c r="L603" t="s">
        <v>16</v>
      </c>
      <c r="M603">
        <f t="shared" si="27"/>
        <v>810.99</v>
      </c>
      <c r="N603">
        <f t="shared" si="28"/>
        <v>0</v>
      </c>
      <c r="O603">
        <f t="shared" si="29"/>
        <v>810.99</v>
      </c>
    </row>
    <row r="604" spans="1:15" x14ac:dyDescent="0.2">
      <c r="A604" t="s">
        <v>74</v>
      </c>
      <c r="B604">
        <v>60564</v>
      </c>
      <c r="C604" t="s">
        <v>24</v>
      </c>
      <c r="D604" t="s">
        <v>22</v>
      </c>
      <c r="E604" s="3">
        <v>44612</v>
      </c>
      <c r="F604" t="s">
        <v>36</v>
      </c>
      <c r="G604" s="2">
        <v>44890</v>
      </c>
      <c r="H604" t="s">
        <v>75</v>
      </c>
      <c r="I604" s="2">
        <v>44652</v>
      </c>
      <c r="J604">
        <v>772.64</v>
      </c>
      <c r="K604">
        <v>50.8</v>
      </c>
      <c r="L604" t="s">
        <v>16</v>
      </c>
      <c r="M604">
        <f t="shared" si="27"/>
        <v>772.64</v>
      </c>
      <c r="N604">
        <f t="shared" si="28"/>
        <v>0</v>
      </c>
      <c r="O604">
        <f t="shared" si="29"/>
        <v>772.64</v>
      </c>
    </row>
    <row r="605" spans="1:15" x14ac:dyDescent="0.2">
      <c r="A605" t="s">
        <v>76</v>
      </c>
      <c r="B605">
        <v>60565</v>
      </c>
      <c r="C605" t="s">
        <v>24</v>
      </c>
      <c r="D605" t="s">
        <v>22</v>
      </c>
      <c r="E605" s="3">
        <v>44714</v>
      </c>
      <c r="F605" t="s">
        <v>33</v>
      </c>
      <c r="G605" s="2">
        <v>44860</v>
      </c>
      <c r="H605" t="s">
        <v>77</v>
      </c>
      <c r="I605" s="2">
        <v>44652</v>
      </c>
      <c r="J605">
        <v>868.9</v>
      </c>
      <c r="K605">
        <v>50.8</v>
      </c>
      <c r="L605" t="s">
        <v>16</v>
      </c>
      <c r="M605">
        <f t="shared" si="27"/>
        <v>868.9</v>
      </c>
      <c r="N605">
        <f t="shared" si="28"/>
        <v>0</v>
      </c>
      <c r="O605">
        <f t="shared" si="29"/>
        <v>868.9</v>
      </c>
    </row>
    <row r="606" spans="1:15" x14ac:dyDescent="0.2">
      <c r="A606" t="s">
        <v>64</v>
      </c>
      <c r="B606">
        <v>60564</v>
      </c>
      <c r="C606" t="s">
        <v>24</v>
      </c>
      <c r="D606" t="s">
        <v>22</v>
      </c>
      <c r="E606" s="3">
        <v>44648</v>
      </c>
      <c r="F606" t="s">
        <v>39</v>
      </c>
      <c r="G606" s="2">
        <v>44797</v>
      </c>
      <c r="H606" t="s">
        <v>65</v>
      </c>
      <c r="I606" s="2">
        <v>44682</v>
      </c>
      <c r="J606">
        <v>806.84</v>
      </c>
      <c r="K606">
        <v>46.3</v>
      </c>
      <c r="L606" t="s">
        <v>16</v>
      </c>
      <c r="M606">
        <f t="shared" si="27"/>
        <v>806.84</v>
      </c>
      <c r="N606">
        <f t="shared" si="28"/>
        <v>0</v>
      </c>
      <c r="O606">
        <f t="shared" si="29"/>
        <v>806.84</v>
      </c>
    </row>
    <row r="607" spans="1:15" x14ac:dyDescent="0.2">
      <c r="A607" t="s">
        <v>66</v>
      </c>
      <c r="B607">
        <v>60564</v>
      </c>
      <c r="C607" t="s">
        <v>24</v>
      </c>
      <c r="D607" t="s">
        <v>22</v>
      </c>
      <c r="E607" s="3">
        <v>44821</v>
      </c>
      <c r="F607" t="s">
        <v>46</v>
      </c>
      <c r="G607" s="2">
        <v>44890</v>
      </c>
      <c r="H607" t="s">
        <v>67</v>
      </c>
      <c r="I607" s="2">
        <v>44682</v>
      </c>
      <c r="J607">
        <v>676.18</v>
      </c>
      <c r="K607">
        <v>46.3</v>
      </c>
      <c r="L607" t="s">
        <v>16</v>
      </c>
      <c r="M607">
        <f t="shared" si="27"/>
        <v>676.18</v>
      </c>
      <c r="N607">
        <f t="shared" si="28"/>
        <v>0</v>
      </c>
      <c r="O607">
        <f t="shared" si="29"/>
        <v>676.18</v>
      </c>
    </row>
    <row r="608" spans="1:15" x14ac:dyDescent="0.2">
      <c r="A608" t="s">
        <v>68</v>
      </c>
      <c r="B608">
        <v>60565</v>
      </c>
      <c r="C608" t="s">
        <v>24</v>
      </c>
      <c r="D608" t="s">
        <v>22</v>
      </c>
      <c r="E608" s="3">
        <v>44722</v>
      </c>
      <c r="F608" t="s">
        <v>33</v>
      </c>
      <c r="G608" s="2">
        <v>44871</v>
      </c>
      <c r="H608" t="s">
        <v>69</v>
      </c>
      <c r="I608" s="2">
        <v>44682</v>
      </c>
      <c r="J608">
        <v>906.07</v>
      </c>
      <c r="K608">
        <v>46.3</v>
      </c>
      <c r="L608" t="s">
        <v>16</v>
      </c>
      <c r="M608">
        <f t="shared" si="27"/>
        <v>906.07</v>
      </c>
      <c r="N608">
        <f t="shared" si="28"/>
        <v>0</v>
      </c>
      <c r="O608">
        <f t="shared" si="29"/>
        <v>906.07</v>
      </c>
    </row>
    <row r="609" spans="1:15" x14ac:dyDescent="0.2">
      <c r="A609" t="s">
        <v>70</v>
      </c>
      <c r="B609">
        <v>60540</v>
      </c>
      <c r="C609" t="s">
        <v>24</v>
      </c>
      <c r="D609" t="s">
        <v>22</v>
      </c>
      <c r="E609" s="3">
        <v>44888</v>
      </c>
      <c r="F609" t="s">
        <v>46</v>
      </c>
      <c r="G609" s="2">
        <v>45022</v>
      </c>
      <c r="H609" t="s">
        <v>71</v>
      </c>
      <c r="I609" s="2">
        <v>44682</v>
      </c>
      <c r="J609">
        <v>667.44</v>
      </c>
      <c r="K609">
        <v>46.3</v>
      </c>
      <c r="L609" t="s">
        <v>16</v>
      </c>
      <c r="M609">
        <f t="shared" si="27"/>
        <v>667.44</v>
      </c>
      <c r="N609">
        <f t="shared" si="28"/>
        <v>0</v>
      </c>
      <c r="O609">
        <f t="shared" si="29"/>
        <v>667.44</v>
      </c>
    </row>
    <row r="610" spans="1:15" x14ac:dyDescent="0.2">
      <c r="A610" t="s">
        <v>72</v>
      </c>
      <c r="B610">
        <v>60564</v>
      </c>
      <c r="C610" t="s">
        <v>24</v>
      </c>
      <c r="D610" t="s">
        <v>22</v>
      </c>
      <c r="E610" s="3">
        <v>44735</v>
      </c>
      <c r="F610" t="s">
        <v>36</v>
      </c>
      <c r="G610" s="2">
        <v>44876</v>
      </c>
      <c r="H610" t="s">
        <v>73</v>
      </c>
      <c r="I610" s="2">
        <v>44682</v>
      </c>
      <c r="J610">
        <v>834.25</v>
      </c>
      <c r="K610">
        <v>46.3</v>
      </c>
      <c r="L610" t="s">
        <v>16</v>
      </c>
      <c r="M610">
        <f t="shared" si="27"/>
        <v>834.25</v>
      </c>
      <c r="N610">
        <f t="shared" si="28"/>
        <v>0</v>
      </c>
      <c r="O610">
        <f t="shared" si="29"/>
        <v>834.25</v>
      </c>
    </row>
    <row r="611" spans="1:15" x14ac:dyDescent="0.2">
      <c r="A611" t="s">
        <v>74</v>
      </c>
      <c r="B611">
        <v>60564</v>
      </c>
      <c r="C611" t="s">
        <v>24</v>
      </c>
      <c r="D611" t="s">
        <v>22</v>
      </c>
      <c r="E611" s="3">
        <v>44612</v>
      </c>
      <c r="F611" t="s">
        <v>36</v>
      </c>
      <c r="G611" s="2">
        <v>44890</v>
      </c>
      <c r="H611" t="s">
        <v>75</v>
      </c>
      <c r="I611" s="2">
        <v>44682</v>
      </c>
      <c r="J611">
        <v>996.43</v>
      </c>
      <c r="K611">
        <v>46.3</v>
      </c>
      <c r="L611" t="s">
        <v>16</v>
      </c>
      <c r="M611">
        <f t="shared" si="27"/>
        <v>996.43</v>
      </c>
      <c r="N611">
        <f t="shared" si="28"/>
        <v>0</v>
      </c>
      <c r="O611">
        <f t="shared" si="29"/>
        <v>996.43</v>
      </c>
    </row>
    <row r="612" spans="1:15" x14ac:dyDescent="0.2">
      <c r="A612" t="s">
        <v>76</v>
      </c>
      <c r="B612">
        <v>60565</v>
      </c>
      <c r="C612" t="s">
        <v>24</v>
      </c>
      <c r="D612" t="s">
        <v>22</v>
      </c>
      <c r="E612" s="3">
        <v>44714</v>
      </c>
      <c r="F612" t="s">
        <v>33</v>
      </c>
      <c r="G612" s="2">
        <v>44860</v>
      </c>
      <c r="H612" t="s">
        <v>77</v>
      </c>
      <c r="I612" s="2">
        <v>44682</v>
      </c>
      <c r="J612">
        <v>883.77</v>
      </c>
      <c r="K612">
        <v>46.3</v>
      </c>
      <c r="L612" t="s">
        <v>16</v>
      </c>
      <c r="M612">
        <f t="shared" si="27"/>
        <v>883.77</v>
      </c>
      <c r="N612">
        <f t="shared" si="28"/>
        <v>0</v>
      </c>
      <c r="O612">
        <f t="shared" si="29"/>
        <v>883.77</v>
      </c>
    </row>
    <row r="613" spans="1:15" x14ac:dyDescent="0.2">
      <c r="A613" t="s">
        <v>64</v>
      </c>
      <c r="B613">
        <v>60564</v>
      </c>
      <c r="C613" t="s">
        <v>24</v>
      </c>
      <c r="D613" t="s">
        <v>22</v>
      </c>
      <c r="E613" s="3">
        <v>44648</v>
      </c>
      <c r="F613" t="s">
        <v>39</v>
      </c>
      <c r="G613" s="2">
        <v>44797</v>
      </c>
      <c r="H613" t="s">
        <v>65</v>
      </c>
      <c r="I613" s="2">
        <v>44713</v>
      </c>
      <c r="J613">
        <v>759.06</v>
      </c>
      <c r="K613">
        <v>61.1</v>
      </c>
      <c r="L613" t="s">
        <v>16</v>
      </c>
      <c r="M613">
        <f t="shared" si="27"/>
        <v>759.06</v>
      </c>
      <c r="N613">
        <f t="shared" si="28"/>
        <v>0</v>
      </c>
      <c r="O613">
        <f t="shared" si="29"/>
        <v>759.06</v>
      </c>
    </row>
    <row r="614" spans="1:15" x14ac:dyDescent="0.2">
      <c r="A614" t="s">
        <v>66</v>
      </c>
      <c r="B614">
        <v>60564</v>
      </c>
      <c r="C614" t="s">
        <v>24</v>
      </c>
      <c r="D614" t="s">
        <v>22</v>
      </c>
      <c r="E614" s="3">
        <v>44821</v>
      </c>
      <c r="F614" t="s">
        <v>46</v>
      </c>
      <c r="G614" s="2">
        <v>44890</v>
      </c>
      <c r="H614" t="s">
        <v>67</v>
      </c>
      <c r="I614" s="2">
        <v>44713</v>
      </c>
      <c r="J614">
        <v>717.53</v>
      </c>
      <c r="K614">
        <v>61.1</v>
      </c>
      <c r="L614" t="s">
        <v>16</v>
      </c>
      <c r="M614">
        <f t="shared" si="27"/>
        <v>717.53</v>
      </c>
      <c r="N614">
        <f t="shared" si="28"/>
        <v>0</v>
      </c>
      <c r="O614">
        <f t="shared" si="29"/>
        <v>717.53</v>
      </c>
    </row>
    <row r="615" spans="1:15" x14ac:dyDescent="0.2">
      <c r="A615" t="s">
        <v>68</v>
      </c>
      <c r="B615">
        <v>60565</v>
      </c>
      <c r="C615" t="s">
        <v>24</v>
      </c>
      <c r="D615" t="s">
        <v>22</v>
      </c>
      <c r="E615" s="3">
        <v>44722</v>
      </c>
      <c r="F615" t="s">
        <v>33</v>
      </c>
      <c r="G615" s="2">
        <v>44871</v>
      </c>
      <c r="H615" t="s">
        <v>69</v>
      </c>
      <c r="I615" s="2">
        <v>44713</v>
      </c>
      <c r="J615">
        <v>823.75</v>
      </c>
      <c r="K615">
        <v>61.1</v>
      </c>
      <c r="L615" t="s">
        <v>16</v>
      </c>
      <c r="M615">
        <f t="shared" si="27"/>
        <v>823.75</v>
      </c>
      <c r="N615">
        <f t="shared" si="28"/>
        <v>0</v>
      </c>
      <c r="O615">
        <f t="shared" si="29"/>
        <v>823.75</v>
      </c>
    </row>
    <row r="616" spans="1:15" x14ac:dyDescent="0.2">
      <c r="A616" t="s">
        <v>70</v>
      </c>
      <c r="B616">
        <v>60540</v>
      </c>
      <c r="C616" t="s">
        <v>24</v>
      </c>
      <c r="D616" t="s">
        <v>22</v>
      </c>
      <c r="E616" s="3">
        <v>44888</v>
      </c>
      <c r="F616" t="s">
        <v>46</v>
      </c>
      <c r="G616" s="2">
        <v>45022</v>
      </c>
      <c r="H616" t="s">
        <v>71</v>
      </c>
      <c r="I616" s="2">
        <v>44713</v>
      </c>
      <c r="J616">
        <v>722.88</v>
      </c>
      <c r="K616">
        <v>61.1</v>
      </c>
      <c r="L616" t="s">
        <v>16</v>
      </c>
      <c r="M616">
        <f t="shared" si="27"/>
        <v>722.88</v>
      </c>
      <c r="N616">
        <f t="shared" si="28"/>
        <v>0</v>
      </c>
      <c r="O616">
        <f t="shared" si="29"/>
        <v>722.88</v>
      </c>
    </row>
    <row r="617" spans="1:15" x14ac:dyDescent="0.2">
      <c r="A617" t="s">
        <v>72</v>
      </c>
      <c r="B617">
        <v>60564</v>
      </c>
      <c r="C617" t="s">
        <v>24</v>
      </c>
      <c r="D617" t="s">
        <v>22</v>
      </c>
      <c r="E617" s="3">
        <v>44735</v>
      </c>
      <c r="F617" t="s">
        <v>36</v>
      </c>
      <c r="G617" s="2">
        <v>44876</v>
      </c>
      <c r="H617" t="s">
        <v>73</v>
      </c>
      <c r="I617" s="2">
        <v>44713</v>
      </c>
      <c r="J617">
        <v>991.15</v>
      </c>
      <c r="K617">
        <v>61.1</v>
      </c>
      <c r="L617" t="s">
        <v>16</v>
      </c>
      <c r="M617">
        <f t="shared" si="27"/>
        <v>991.15</v>
      </c>
      <c r="N617">
        <f t="shared" si="28"/>
        <v>0</v>
      </c>
      <c r="O617">
        <f t="shared" si="29"/>
        <v>991.15</v>
      </c>
    </row>
    <row r="618" spans="1:15" x14ac:dyDescent="0.2">
      <c r="A618" t="s">
        <v>74</v>
      </c>
      <c r="B618">
        <v>60564</v>
      </c>
      <c r="C618" t="s">
        <v>24</v>
      </c>
      <c r="D618" t="s">
        <v>22</v>
      </c>
      <c r="E618" s="3">
        <v>44612</v>
      </c>
      <c r="F618" t="s">
        <v>36</v>
      </c>
      <c r="G618" s="2">
        <v>44890</v>
      </c>
      <c r="H618" t="s">
        <v>75</v>
      </c>
      <c r="I618" s="2">
        <v>44713</v>
      </c>
      <c r="J618">
        <v>780.28</v>
      </c>
      <c r="K618">
        <v>61.1</v>
      </c>
      <c r="L618" t="s">
        <v>16</v>
      </c>
      <c r="M618">
        <f t="shared" si="27"/>
        <v>780.28</v>
      </c>
      <c r="N618">
        <f t="shared" si="28"/>
        <v>0</v>
      </c>
      <c r="O618">
        <f t="shared" si="29"/>
        <v>780.28</v>
      </c>
    </row>
    <row r="619" spans="1:15" x14ac:dyDescent="0.2">
      <c r="A619" t="s">
        <v>76</v>
      </c>
      <c r="B619">
        <v>60565</v>
      </c>
      <c r="C619" t="s">
        <v>24</v>
      </c>
      <c r="D619" t="s">
        <v>22</v>
      </c>
      <c r="E619" s="3">
        <v>44714</v>
      </c>
      <c r="F619" t="s">
        <v>33</v>
      </c>
      <c r="G619" s="2">
        <v>44860</v>
      </c>
      <c r="H619" t="s">
        <v>77</v>
      </c>
      <c r="I619" s="2">
        <v>44713</v>
      </c>
      <c r="J619">
        <v>936.8</v>
      </c>
      <c r="K619">
        <v>61.1</v>
      </c>
      <c r="L619" t="s">
        <v>16</v>
      </c>
      <c r="M619">
        <f t="shared" si="27"/>
        <v>936.8</v>
      </c>
      <c r="N619">
        <f t="shared" si="28"/>
        <v>0</v>
      </c>
      <c r="O619">
        <f t="shared" si="29"/>
        <v>936.8</v>
      </c>
    </row>
    <row r="620" spans="1:15" x14ac:dyDescent="0.2">
      <c r="A620" t="s">
        <v>64</v>
      </c>
      <c r="B620">
        <v>60564</v>
      </c>
      <c r="C620" t="s">
        <v>24</v>
      </c>
      <c r="D620" t="s">
        <v>22</v>
      </c>
      <c r="E620" s="3">
        <v>44648</v>
      </c>
      <c r="F620" t="s">
        <v>39</v>
      </c>
      <c r="G620" s="2">
        <v>44797</v>
      </c>
      <c r="H620" t="s">
        <v>65</v>
      </c>
      <c r="I620" s="2">
        <v>44743</v>
      </c>
      <c r="J620">
        <v>988.95</v>
      </c>
      <c r="K620">
        <v>27.4</v>
      </c>
      <c r="L620" t="s">
        <v>19</v>
      </c>
      <c r="M620">
        <f t="shared" si="27"/>
        <v>988.95</v>
      </c>
      <c r="N620">
        <f t="shared" si="28"/>
        <v>0</v>
      </c>
      <c r="O620">
        <f t="shared" si="29"/>
        <v>988.95</v>
      </c>
    </row>
    <row r="621" spans="1:15" x14ac:dyDescent="0.2">
      <c r="A621" t="s">
        <v>66</v>
      </c>
      <c r="B621">
        <v>60564</v>
      </c>
      <c r="C621" t="s">
        <v>24</v>
      </c>
      <c r="D621" t="s">
        <v>22</v>
      </c>
      <c r="E621" s="3">
        <v>44821</v>
      </c>
      <c r="F621" t="s">
        <v>46</v>
      </c>
      <c r="G621" s="2">
        <v>44890</v>
      </c>
      <c r="H621" t="s">
        <v>67</v>
      </c>
      <c r="I621" s="2">
        <v>44743</v>
      </c>
      <c r="J621">
        <v>995.13</v>
      </c>
      <c r="K621">
        <v>27.4</v>
      </c>
      <c r="L621" t="s">
        <v>19</v>
      </c>
      <c r="M621">
        <f t="shared" si="27"/>
        <v>995.13</v>
      </c>
      <c r="N621">
        <f t="shared" si="28"/>
        <v>0</v>
      </c>
      <c r="O621">
        <f t="shared" si="29"/>
        <v>995.13</v>
      </c>
    </row>
    <row r="622" spans="1:15" x14ac:dyDescent="0.2">
      <c r="A622" t="s">
        <v>68</v>
      </c>
      <c r="B622">
        <v>60565</v>
      </c>
      <c r="C622" t="s">
        <v>24</v>
      </c>
      <c r="D622" t="s">
        <v>22</v>
      </c>
      <c r="E622" s="3">
        <v>44722</v>
      </c>
      <c r="F622" t="s">
        <v>33</v>
      </c>
      <c r="G622" s="2">
        <v>44871</v>
      </c>
      <c r="H622" t="s">
        <v>69</v>
      </c>
      <c r="I622" s="2">
        <v>44743</v>
      </c>
      <c r="J622">
        <v>768.26</v>
      </c>
      <c r="K622">
        <v>27.4</v>
      </c>
      <c r="L622" t="s">
        <v>19</v>
      </c>
      <c r="M622">
        <f t="shared" si="27"/>
        <v>768.26</v>
      </c>
      <c r="N622">
        <f t="shared" si="28"/>
        <v>0</v>
      </c>
      <c r="O622">
        <f t="shared" si="29"/>
        <v>768.26</v>
      </c>
    </row>
    <row r="623" spans="1:15" x14ac:dyDescent="0.2">
      <c r="A623" t="s">
        <v>70</v>
      </c>
      <c r="B623">
        <v>60540</v>
      </c>
      <c r="C623" t="s">
        <v>24</v>
      </c>
      <c r="D623" t="s">
        <v>22</v>
      </c>
      <c r="E623" s="3">
        <v>44888</v>
      </c>
      <c r="F623" t="s">
        <v>46</v>
      </c>
      <c r="G623" s="2">
        <v>45022</v>
      </c>
      <c r="H623" t="s">
        <v>71</v>
      </c>
      <c r="I623" s="2">
        <v>44743</v>
      </c>
      <c r="J623">
        <v>750.51</v>
      </c>
      <c r="K623">
        <v>27.4</v>
      </c>
      <c r="L623" t="s">
        <v>19</v>
      </c>
      <c r="M623">
        <f t="shared" si="27"/>
        <v>750.51</v>
      </c>
      <c r="N623">
        <f t="shared" si="28"/>
        <v>0</v>
      </c>
      <c r="O623">
        <f t="shared" si="29"/>
        <v>750.51</v>
      </c>
    </row>
    <row r="624" spans="1:15" x14ac:dyDescent="0.2">
      <c r="A624" t="s">
        <v>72</v>
      </c>
      <c r="B624">
        <v>60564</v>
      </c>
      <c r="C624" t="s">
        <v>24</v>
      </c>
      <c r="D624" t="s">
        <v>22</v>
      </c>
      <c r="E624" s="3">
        <v>44735</v>
      </c>
      <c r="F624" t="s">
        <v>36</v>
      </c>
      <c r="G624" s="2">
        <v>44876</v>
      </c>
      <c r="H624" t="s">
        <v>73</v>
      </c>
      <c r="I624" s="2">
        <v>44743</v>
      </c>
      <c r="J624">
        <v>831.95</v>
      </c>
      <c r="K624">
        <v>27.4</v>
      </c>
      <c r="L624" t="s">
        <v>19</v>
      </c>
      <c r="M624">
        <f t="shared" si="27"/>
        <v>831.95</v>
      </c>
      <c r="N624">
        <f t="shared" si="28"/>
        <v>0</v>
      </c>
      <c r="O624">
        <f t="shared" si="29"/>
        <v>831.95</v>
      </c>
    </row>
    <row r="625" spans="1:15" x14ac:dyDescent="0.2">
      <c r="A625" t="s">
        <v>74</v>
      </c>
      <c r="B625">
        <v>60564</v>
      </c>
      <c r="C625" t="s">
        <v>24</v>
      </c>
      <c r="D625" t="s">
        <v>22</v>
      </c>
      <c r="E625" s="3">
        <v>44612</v>
      </c>
      <c r="F625" t="s">
        <v>36</v>
      </c>
      <c r="G625" s="2">
        <v>44890</v>
      </c>
      <c r="H625" t="s">
        <v>75</v>
      </c>
      <c r="I625" s="2">
        <v>44743</v>
      </c>
      <c r="J625">
        <v>677.39</v>
      </c>
      <c r="K625">
        <v>27.4</v>
      </c>
      <c r="L625" t="s">
        <v>19</v>
      </c>
      <c r="M625">
        <f t="shared" si="27"/>
        <v>677.39</v>
      </c>
      <c r="N625">
        <f t="shared" si="28"/>
        <v>0</v>
      </c>
      <c r="O625">
        <f t="shared" si="29"/>
        <v>677.39</v>
      </c>
    </row>
    <row r="626" spans="1:15" x14ac:dyDescent="0.2">
      <c r="A626" t="s">
        <v>76</v>
      </c>
      <c r="B626">
        <v>60565</v>
      </c>
      <c r="C626" t="s">
        <v>24</v>
      </c>
      <c r="D626" t="s">
        <v>22</v>
      </c>
      <c r="E626" s="3">
        <v>44714</v>
      </c>
      <c r="F626" t="s">
        <v>33</v>
      </c>
      <c r="G626" s="2">
        <v>44860</v>
      </c>
      <c r="H626" t="s">
        <v>77</v>
      </c>
      <c r="I626" s="2">
        <v>44743</v>
      </c>
      <c r="J626">
        <v>935.48</v>
      </c>
      <c r="K626">
        <v>27.4</v>
      </c>
      <c r="L626" t="s">
        <v>19</v>
      </c>
      <c r="M626">
        <f t="shared" si="27"/>
        <v>935.48</v>
      </c>
      <c r="N626">
        <f t="shared" si="28"/>
        <v>0</v>
      </c>
      <c r="O626">
        <f t="shared" si="29"/>
        <v>935.48</v>
      </c>
    </row>
    <row r="627" spans="1:15" x14ac:dyDescent="0.2">
      <c r="A627" t="s">
        <v>64</v>
      </c>
      <c r="B627">
        <v>60564</v>
      </c>
      <c r="C627" t="s">
        <v>24</v>
      </c>
      <c r="D627" t="s">
        <v>22</v>
      </c>
      <c r="E627" s="3">
        <v>44648</v>
      </c>
      <c r="F627" t="s">
        <v>39</v>
      </c>
      <c r="G627" s="2">
        <v>44797</v>
      </c>
      <c r="H627" t="s">
        <v>65</v>
      </c>
      <c r="I627" s="2">
        <v>44774</v>
      </c>
      <c r="J627">
        <v>732.42</v>
      </c>
      <c r="K627">
        <v>54.2</v>
      </c>
      <c r="L627" t="s">
        <v>16</v>
      </c>
      <c r="M627">
        <f t="shared" si="27"/>
        <v>732.42</v>
      </c>
      <c r="N627">
        <f t="shared" si="28"/>
        <v>0</v>
      </c>
      <c r="O627">
        <f t="shared" si="29"/>
        <v>732.42</v>
      </c>
    </row>
    <row r="628" spans="1:15" x14ac:dyDescent="0.2">
      <c r="A628" t="s">
        <v>66</v>
      </c>
      <c r="B628">
        <v>60564</v>
      </c>
      <c r="C628" t="s">
        <v>24</v>
      </c>
      <c r="D628" t="s">
        <v>22</v>
      </c>
      <c r="E628" s="3">
        <v>44821</v>
      </c>
      <c r="F628" t="s">
        <v>46</v>
      </c>
      <c r="G628" s="2">
        <v>44890</v>
      </c>
      <c r="H628" t="s">
        <v>67</v>
      </c>
      <c r="I628" s="2">
        <v>44774</v>
      </c>
      <c r="J628">
        <v>795.99</v>
      </c>
      <c r="K628">
        <v>54.2</v>
      </c>
      <c r="L628" t="s">
        <v>16</v>
      </c>
      <c r="M628">
        <f t="shared" si="27"/>
        <v>795.99</v>
      </c>
      <c r="N628">
        <f t="shared" si="28"/>
        <v>0</v>
      </c>
      <c r="O628">
        <f t="shared" si="29"/>
        <v>795.99</v>
      </c>
    </row>
    <row r="629" spans="1:15" x14ac:dyDescent="0.2">
      <c r="A629" t="s">
        <v>68</v>
      </c>
      <c r="B629">
        <v>60565</v>
      </c>
      <c r="C629" t="s">
        <v>24</v>
      </c>
      <c r="D629" t="s">
        <v>22</v>
      </c>
      <c r="E629" s="3">
        <v>44722</v>
      </c>
      <c r="F629" t="s">
        <v>33</v>
      </c>
      <c r="G629" s="2">
        <v>44871</v>
      </c>
      <c r="H629" t="s">
        <v>69</v>
      </c>
      <c r="I629" s="2">
        <v>44774</v>
      </c>
      <c r="J629">
        <v>845.84</v>
      </c>
      <c r="K629">
        <v>54.2</v>
      </c>
      <c r="L629" t="s">
        <v>16</v>
      </c>
      <c r="M629">
        <f t="shared" si="27"/>
        <v>845.84</v>
      </c>
      <c r="N629">
        <f t="shared" si="28"/>
        <v>0</v>
      </c>
      <c r="O629">
        <f t="shared" si="29"/>
        <v>845.84</v>
      </c>
    </row>
    <row r="630" spans="1:15" x14ac:dyDescent="0.2">
      <c r="A630" t="s">
        <v>70</v>
      </c>
      <c r="B630">
        <v>60540</v>
      </c>
      <c r="C630" t="s">
        <v>24</v>
      </c>
      <c r="D630" t="s">
        <v>22</v>
      </c>
      <c r="E630" s="3">
        <v>44888</v>
      </c>
      <c r="F630" t="s">
        <v>46</v>
      </c>
      <c r="G630" s="2">
        <v>45022</v>
      </c>
      <c r="H630" t="s">
        <v>71</v>
      </c>
      <c r="I630" s="2">
        <v>44774</v>
      </c>
      <c r="J630">
        <v>795.05</v>
      </c>
      <c r="K630">
        <v>54.2</v>
      </c>
      <c r="L630" t="s">
        <v>16</v>
      </c>
      <c r="M630">
        <f t="shared" si="27"/>
        <v>795.05</v>
      </c>
      <c r="N630">
        <f t="shared" si="28"/>
        <v>0</v>
      </c>
      <c r="O630">
        <f t="shared" si="29"/>
        <v>795.05</v>
      </c>
    </row>
    <row r="631" spans="1:15" x14ac:dyDescent="0.2">
      <c r="A631" t="s">
        <v>72</v>
      </c>
      <c r="B631">
        <v>60564</v>
      </c>
      <c r="C631" t="s">
        <v>24</v>
      </c>
      <c r="D631" t="s">
        <v>22</v>
      </c>
      <c r="E631" s="3">
        <v>44735</v>
      </c>
      <c r="F631" t="s">
        <v>36</v>
      </c>
      <c r="G631" s="2">
        <v>44876</v>
      </c>
      <c r="H631" t="s">
        <v>73</v>
      </c>
      <c r="I631" s="2">
        <v>44774</v>
      </c>
      <c r="J631">
        <v>819.33</v>
      </c>
      <c r="K631">
        <v>54.2</v>
      </c>
      <c r="L631" t="s">
        <v>16</v>
      </c>
      <c r="M631">
        <f t="shared" si="27"/>
        <v>819.33</v>
      </c>
      <c r="N631">
        <f t="shared" si="28"/>
        <v>0</v>
      </c>
      <c r="O631">
        <f t="shared" si="29"/>
        <v>819.33</v>
      </c>
    </row>
    <row r="632" spans="1:15" x14ac:dyDescent="0.2">
      <c r="A632" t="s">
        <v>74</v>
      </c>
      <c r="B632">
        <v>60564</v>
      </c>
      <c r="C632" t="s">
        <v>24</v>
      </c>
      <c r="D632" t="s">
        <v>22</v>
      </c>
      <c r="E632" s="3">
        <v>44612</v>
      </c>
      <c r="F632" t="s">
        <v>36</v>
      </c>
      <c r="G632" s="2">
        <v>44890</v>
      </c>
      <c r="H632" t="s">
        <v>75</v>
      </c>
      <c r="I632" s="2">
        <v>44774</v>
      </c>
      <c r="J632">
        <v>804.17</v>
      </c>
      <c r="K632">
        <v>54.2</v>
      </c>
      <c r="L632" t="s">
        <v>16</v>
      </c>
      <c r="M632">
        <f t="shared" si="27"/>
        <v>804.17</v>
      </c>
      <c r="N632">
        <f t="shared" si="28"/>
        <v>0</v>
      </c>
      <c r="O632">
        <f t="shared" si="29"/>
        <v>804.17</v>
      </c>
    </row>
    <row r="633" spans="1:15" x14ac:dyDescent="0.2">
      <c r="A633" t="s">
        <v>76</v>
      </c>
      <c r="B633">
        <v>60565</v>
      </c>
      <c r="C633" t="s">
        <v>24</v>
      </c>
      <c r="D633" t="s">
        <v>22</v>
      </c>
      <c r="E633" s="3">
        <v>44714</v>
      </c>
      <c r="F633" t="s">
        <v>33</v>
      </c>
      <c r="G633" s="2">
        <v>44860</v>
      </c>
      <c r="H633" t="s">
        <v>77</v>
      </c>
      <c r="I633" s="2">
        <v>44774</v>
      </c>
      <c r="J633">
        <v>902.86</v>
      </c>
      <c r="K633">
        <v>54.2</v>
      </c>
      <c r="L633" t="s">
        <v>16</v>
      </c>
      <c r="M633">
        <f t="shared" si="27"/>
        <v>902.86</v>
      </c>
      <c r="N633">
        <f t="shared" si="28"/>
        <v>0</v>
      </c>
      <c r="O633">
        <f t="shared" si="29"/>
        <v>902.86</v>
      </c>
    </row>
    <row r="634" spans="1:15" x14ac:dyDescent="0.2">
      <c r="A634" t="s">
        <v>64</v>
      </c>
      <c r="B634">
        <v>60564</v>
      </c>
      <c r="C634" t="s">
        <v>24</v>
      </c>
      <c r="D634" t="s">
        <v>22</v>
      </c>
      <c r="E634" s="3">
        <v>44648</v>
      </c>
      <c r="F634" t="s">
        <v>39</v>
      </c>
      <c r="G634" s="2">
        <v>44797</v>
      </c>
      <c r="H634" t="s">
        <v>65</v>
      </c>
      <c r="I634" s="2">
        <v>44805</v>
      </c>
      <c r="J634">
        <v>708.66</v>
      </c>
      <c r="K634">
        <v>41.9</v>
      </c>
      <c r="L634" t="s">
        <v>16</v>
      </c>
      <c r="M634">
        <f t="shared" si="27"/>
        <v>0</v>
      </c>
      <c r="N634">
        <f t="shared" si="28"/>
        <v>708.66</v>
      </c>
      <c r="O634">
        <f t="shared" si="29"/>
        <v>-708.66</v>
      </c>
    </row>
    <row r="635" spans="1:15" x14ac:dyDescent="0.2">
      <c r="A635" t="s">
        <v>66</v>
      </c>
      <c r="B635">
        <v>60564</v>
      </c>
      <c r="C635" t="s">
        <v>24</v>
      </c>
      <c r="D635" t="s">
        <v>22</v>
      </c>
      <c r="E635" s="3">
        <v>44821</v>
      </c>
      <c r="F635" t="s">
        <v>46</v>
      </c>
      <c r="G635" s="2">
        <v>44890</v>
      </c>
      <c r="H635" t="s">
        <v>67</v>
      </c>
      <c r="I635" s="2">
        <v>44805</v>
      </c>
      <c r="J635">
        <v>852.94</v>
      </c>
      <c r="K635">
        <v>41.9</v>
      </c>
      <c r="L635" t="s">
        <v>16</v>
      </c>
      <c r="M635">
        <f t="shared" si="27"/>
        <v>852.94</v>
      </c>
      <c r="N635">
        <f t="shared" si="28"/>
        <v>0</v>
      </c>
      <c r="O635">
        <f t="shared" si="29"/>
        <v>852.94</v>
      </c>
    </row>
    <row r="636" spans="1:15" x14ac:dyDescent="0.2">
      <c r="A636" t="s">
        <v>68</v>
      </c>
      <c r="B636">
        <v>60565</v>
      </c>
      <c r="C636" t="s">
        <v>24</v>
      </c>
      <c r="D636" t="s">
        <v>22</v>
      </c>
      <c r="E636" s="3">
        <v>44722</v>
      </c>
      <c r="F636" t="s">
        <v>33</v>
      </c>
      <c r="G636" s="2">
        <v>44871</v>
      </c>
      <c r="H636" t="s">
        <v>69</v>
      </c>
      <c r="I636" s="2">
        <v>44805</v>
      </c>
      <c r="J636">
        <v>818.62</v>
      </c>
      <c r="K636">
        <v>41.9</v>
      </c>
      <c r="L636" t="s">
        <v>16</v>
      </c>
      <c r="M636">
        <f t="shared" si="27"/>
        <v>818.62</v>
      </c>
      <c r="N636">
        <f t="shared" si="28"/>
        <v>0</v>
      </c>
      <c r="O636">
        <f t="shared" si="29"/>
        <v>818.62</v>
      </c>
    </row>
    <row r="637" spans="1:15" x14ac:dyDescent="0.2">
      <c r="A637" t="s">
        <v>70</v>
      </c>
      <c r="B637">
        <v>60540</v>
      </c>
      <c r="C637" t="s">
        <v>24</v>
      </c>
      <c r="D637" t="s">
        <v>22</v>
      </c>
      <c r="E637" s="3">
        <v>44888</v>
      </c>
      <c r="F637" t="s">
        <v>46</v>
      </c>
      <c r="G637" s="2">
        <v>45022</v>
      </c>
      <c r="H637" t="s">
        <v>71</v>
      </c>
      <c r="I637" s="2">
        <v>44805</v>
      </c>
      <c r="J637">
        <v>735.47</v>
      </c>
      <c r="K637">
        <v>41.9</v>
      </c>
      <c r="L637" t="s">
        <v>16</v>
      </c>
      <c r="M637">
        <f t="shared" si="27"/>
        <v>735.47</v>
      </c>
      <c r="N637">
        <f t="shared" si="28"/>
        <v>0</v>
      </c>
      <c r="O637">
        <f t="shared" si="29"/>
        <v>735.47</v>
      </c>
    </row>
    <row r="638" spans="1:15" x14ac:dyDescent="0.2">
      <c r="A638" t="s">
        <v>72</v>
      </c>
      <c r="B638">
        <v>60564</v>
      </c>
      <c r="C638" t="s">
        <v>24</v>
      </c>
      <c r="D638" t="s">
        <v>22</v>
      </c>
      <c r="E638" s="3">
        <v>44735</v>
      </c>
      <c r="F638" t="s">
        <v>36</v>
      </c>
      <c r="G638" s="2">
        <v>44876</v>
      </c>
      <c r="H638" t="s">
        <v>73</v>
      </c>
      <c r="I638" s="2">
        <v>44805</v>
      </c>
      <c r="J638">
        <v>959.61</v>
      </c>
      <c r="K638">
        <v>41.9</v>
      </c>
      <c r="L638" t="s">
        <v>16</v>
      </c>
      <c r="M638">
        <f t="shared" si="27"/>
        <v>959.61</v>
      </c>
      <c r="N638">
        <f t="shared" si="28"/>
        <v>0</v>
      </c>
      <c r="O638">
        <f t="shared" si="29"/>
        <v>959.61</v>
      </c>
    </row>
    <row r="639" spans="1:15" x14ac:dyDescent="0.2">
      <c r="A639" t="s">
        <v>74</v>
      </c>
      <c r="B639">
        <v>60564</v>
      </c>
      <c r="C639" t="s">
        <v>24</v>
      </c>
      <c r="D639" t="s">
        <v>22</v>
      </c>
      <c r="E639" s="3">
        <v>44612</v>
      </c>
      <c r="F639" t="s">
        <v>36</v>
      </c>
      <c r="G639" s="2">
        <v>44890</v>
      </c>
      <c r="H639" t="s">
        <v>75</v>
      </c>
      <c r="I639" s="2">
        <v>44805</v>
      </c>
      <c r="J639">
        <v>817.81</v>
      </c>
      <c r="K639">
        <v>41.9</v>
      </c>
      <c r="L639" t="s">
        <v>16</v>
      </c>
      <c r="M639">
        <f t="shared" si="27"/>
        <v>817.81</v>
      </c>
      <c r="N639">
        <f t="shared" si="28"/>
        <v>0</v>
      </c>
      <c r="O639">
        <f t="shared" si="29"/>
        <v>817.81</v>
      </c>
    </row>
    <row r="640" spans="1:15" x14ac:dyDescent="0.2">
      <c r="A640" t="s">
        <v>76</v>
      </c>
      <c r="B640">
        <v>60565</v>
      </c>
      <c r="C640" t="s">
        <v>24</v>
      </c>
      <c r="D640" t="s">
        <v>22</v>
      </c>
      <c r="E640" s="3">
        <v>44714</v>
      </c>
      <c r="F640" t="s">
        <v>33</v>
      </c>
      <c r="G640" s="2">
        <v>44860</v>
      </c>
      <c r="H640" t="s">
        <v>77</v>
      </c>
      <c r="I640" s="2">
        <v>44805</v>
      </c>
      <c r="J640">
        <v>814.49</v>
      </c>
      <c r="K640">
        <v>41.9</v>
      </c>
      <c r="L640" t="s">
        <v>16</v>
      </c>
      <c r="M640">
        <f t="shared" si="27"/>
        <v>814.49</v>
      </c>
      <c r="N640">
        <f t="shared" si="28"/>
        <v>0</v>
      </c>
      <c r="O640">
        <f t="shared" si="29"/>
        <v>814.49</v>
      </c>
    </row>
    <row r="641" spans="1:15" x14ac:dyDescent="0.2">
      <c r="A641" t="s">
        <v>64</v>
      </c>
      <c r="B641">
        <v>60564</v>
      </c>
      <c r="C641" t="s">
        <v>24</v>
      </c>
      <c r="D641" t="s">
        <v>22</v>
      </c>
      <c r="E641" s="3">
        <v>44648</v>
      </c>
      <c r="F641" t="s">
        <v>39</v>
      </c>
      <c r="G641" s="2">
        <v>44797</v>
      </c>
      <c r="H641" t="s">
        <v>65</v>
      </c>
      <c r="I641" s="2">
        <v>44835</v>
      </c>
      <c r="J641">
        <v>754.5</v>
      </c>
      <c r="K641">
        <v>74.099999999999994</v>
      </c>
      <c r="L641" t="s">
        <v>20</v>
      </c>
      <c r="M641">
        <f t="shared" si="27"/>
        <v>0</v>
      </c>
      <c r="N641">
        <f t="shared" si="28"/>
        <v>754.5</v>
      </c>
      <c r="O641">
        <f t="shared" si="29"/>
        <v>-754.5</v>
      </c>
    </row>
    <row r="642" spans="1:15" x14ac:dyDescent="0.2">
      <c r="A642" t="s">
        <v>66</v>
      </c>
      <c r="B642">
        <v>60564</v>
      </c>
      <c r="C642" t="s">
        <v>24</v>
      </c>
      <c r="D642" t="s">
        <v>22</v>
      </c>
      <c r="E642" s="3">
        <v>44821</v>
      </c>
      <c r="F642" t="s">
        <v>46</v>
      </c>
      <c r="G642" s="2">
        <v>44890</v>
      </c>
      <c r="H642" t="s">
        <v>67</v>
      </c>
      <c r="I642" s="2">
        <v>44835</v>
      </c>
      <c r="J642">
        <v>781.61</v>
      </c>
      <c r="K642">
        <v>74.099999999999994</v>
      </c>
      <c r="L642" t="s">
        <v>20</v>
      </c>
      <c r="M642">
        <f t="shared" ref="M642:M705" si="30">SUMIFS(J642,I642, "&lt;" &amp;G642,I642,"&lt;&gt;",G642,"&lt;&gt;")</f>
        <v>781.61</v>
      </c>
      <c r="N642">
        <f t="shared" ref="N642:N705" si="31">SUMIFS(J642,I642, "&gt;=" &amp;G642,I642,"&lt;&gt;",G642,"&lt;&gt;")</f>
        <v>0</v>
      </c>
      <c r="O642">
        <f t="shared" ref="O642:O705" si="32">SUM(M642-N642)</f>
        <v>781.61</v>
      </c>
    </row>
    <row r="643" spans="1:15" x14ac:dyDescent="0.2">
      <c r="A643" t="s">
        <v>68</v>
      </c>
      <c r="B643">
        <v>60565</v>
      </c>
      <c r="C643" t="s">
        <v>24</v>
      </c>
      <c r="D643" t="s">
        <v>22</v>
      </c>
      <c r="E643" s="3">
        <v>44722</v>
      </c>
      <c r="F643" t="s">
        <v>33</v>
      </c>
      <c r="G643" s="2">
        <v>44871</v>
      </c>
      <c r="H643" t="s">
        <v>69</v>
      </c>
      <c r="I643" s="2">
        <v>44835</v>
      </c>
      <c r="J643">
        <v>882.62</v>
      </c>
      <c r="K643">
        <v>74.099999999999994</v>
      </c>
      <c r="L643" t="s">
        <v>20</v>
      </c>
      <c r="M643">
        <f t="shared" si="30"/>
        <v>882.62</v>
      </c>
      <c r="N643">
        <f t="shared" si="31"/>
        <v>0</v>
      </c>
      <c r="O643">
        <f t="shared" si="32"/>
        <v>882.62</v>
      </c>
    </row>
    <row r="644" spans="1:15" x14ac:dyDescent="0.2">
      <c r="A644" t="s">
        <v>70</v>
      </c>
      <c r="B644">
        <v>60540</v>
      </c>
      <c r="C644" t="s">
        <v>24</v>
      </c>
      <c r="D644" t="s">
        <v>22</v>
      </c>
      <c r="E644" s="3">
        <v>44888</v>
      </c>
      <c r="F644" t="s">
        <v>46</v>
      </c>
      <c r="G644" s="2">
        <v>45022</v>
      </c>
      <c r="H644" t="s">
        <v>71</v>
      </c>
      <c r="I644" s="2">
        <v>44835</v>
      </c>
      <c r="J644">
        <v>639.94000000000005</v>
      </c>
      <c r="K644">
        <v>74.099999999999994</v>
      </c>
      <c r="L644" t="s">
        <v>20</v>
      </c>
      <c r="M644">
        <f t="shared" si="30"/>
        <v>639.94000000000005</v>
      </c>
      <c r="N644">
        <f t="shared" si="31"/>
        <v>0</v>
      </c>
      <c r="O644">
        <f t="shared" si="32"/>
        <v>639.94000000000005</v>
      </c>
    </row>
    <row r="645" spans="1:15" x14ac:dyDescent="0.2">
      <c r="A645" t="s">
        <v>72</v>
      </c>
      <c r="B645">
        <v>60564</v>
      </c>
      <c r="C645" t="s">
        <v>24</v>
      </c>
      <c r="D645" t="s">
        <v>22</v>
      </c>
      <c r="E645" s="3">
        <v>44735</v>
      </c>
      <c r="F645" t="s">
        <v>36</v>
      </c>
      <c r="G645" s="2">
        <v>44876</v>
      </c>
      <c r="H645" t="s">
        <v>73</v>
      </c>
      <c r="I645" s="2">
        <v>44835</v>
      </c>
      <c r="J645">
        <v>860.11</v>
      </c>
      <c r="K645">
        <v>74.099999999999994</v>
      </c>
      <c r="L645" t="s">
        <v>20</v>
      </c>
      <c r="M645">
        <f t="shared" si="30"/>
        <v>860.11</v>
      </c>
      <c r="N645">
        <f t="shared" si="31"/>
        <v>0</v>
      </c>
      <c r="O645">
        <f t="shared" si="32"/>
        <v>860.11</v>
      </c>
    </row>
    <row r="646" spans="1:15" x14ac:dyDescent="0.2">
      <c r="A646" t="s">
        <v>74</v>
      </c>
      <c r="B646">
        <v>60564</v>
      </c>
      <c r="C646" t="s">
        <v>24</v>
      </c>
      <c r="D646" t="s">
        <v>22</v>
      </c>
      <c r="E646" s="3">
        <v>44612</v>
      </c>
      <c r="F646" t="s">
        <v>36</v>
      </c>
      <c r="G646" s="2">
        <v>44890</v>
      </c>
      <c r="H646" t="s">
        <v>75</v>
      </c>
      <c r="I646" s="2">
        <v>44835</v>
      </c>
      <c r="J646">
        <v>803.56</v>
      </c>
      <c r="K646">
        <v>74.099999999999994</v>
      </c>
      <c r="L646" t="s">
        <v>20</v>
      </c>
      <c r="M646">
        <f t="shared" si="30"/>
        <v>803.56</v>
      </c>
      <c r="N646">
        <f t="shared" si="31"/>
        <v>0</v>
      </c>
      <c r="O646">
        <f t="shared" si="32"/>
        <v>803.56</v>
      </c>
    </row>
    <row r="647" spans="1:15" x14ac:dyDescent="0.2">
      <c r="A647" t="s">
        <v>76</v>
      </c>
      <c r="B647">
        <v>60565</v>
      </c>
      <c r="C647" t="s">
        <v>24</v>
      </c>
      <c r="D647" t="s">
        <v>22</v>
      </c>
      <c r="E647" s="3">
        <v>44714</v>
      </c>
      <c r="F647" t="s">
        <v>33</v>
      </c>
      <c r="G647" s="2">
        <v>44860</v>
      </c>
      <c r="H647" t="s">
        <v>77</v>
      </c>
      <c r="I647" s="2">
        <v>44835</v>
      </c>
      <c r="J647">
        <v>761.75</v>
      </c>
      <c r="K647">
        <v>74.099999999999994</v>
      </c>
      <c r="L647" t="s">
        <v>20</v>
      </c>
      <c r="M647">
        <f t="shared" si="30"/>
        <v>761.75</v>
      </c>
      <c r="N647">
        <f t="shared" si="31"/>
        <v>0</v>
      </c>
      <c r="O647">
        <f t="shared" si="32"/>
        <v>761.75</v>
      </c>
    </row>
    <row r="648" spans="1:15" x14ac:dyDescent="0.2">
      <c r="A648" t="s">
        <v>64</v>
      </c>
      <c r="B648">
        <v>60564</v>
      </c>
      <c r="C648" t="s">
        <v>24</v>
      </c>
      <c r="D648" t="s">
        <v>22</v>
      </c>
      <c r="E648" s="3">
        <v>44648</v>
      </c>
      <c r="F648" t="s">
        <v>39</v>
      </c>
      <c r="G648" s="2">
        <v>44797</v>
      </c>
      <c r="H648" t="s">
        <v>65</v>
      </c>
      <c r="I648" s="2">
        <v>44866</v>
      </c>
      <c r="J648">
        <v>758.72</v>
      </c>
      <c r="K648">
        <v>42.6</v>
      </c>
      <c r="L648" t="s">
        <v>16</v>
      </c>
      <c r="M648">
        <f t="shared" si="30"/>
        <v>0</v>
      </c>
      <c r="N648">
        <f t="shared" si="31"/>
        <v>758.72</v>
      </c>
      <c r="O648">
        <f t="shared" si="32"/>
        <v>-758.72</v>
      </c>
    </row>
    <row r="649" spans="1:15" x14ac:dyDescent="0.2">
      <c r="A649" t="s">
        <v>66</v>
      </c>
      <c r="B649">
        <v>60564</v>
      </c>
      <c r="C649" t="s">
        <v>24</v>
      </c>
      <c r="D649" t="s">
        <v>22</v>
      </c>
      <c r="E649" s="3">
        <v>44821</v>
      </c>
      <c r="F649" t="s">
        <v>46</v>
      </c>
      <c r="G649" s="2">
        <v>44890</v>
      </c>
      <c r="H649" t="s">
        <v>67</v>
      </c>
      <c r="I649" s="2">
        <v>44866</v>
      </c>
      <c r="J649">
        <v>790.99</v>
      </c>
      <c r="K649">
        <v>42.6</v>
      </c>
      <c r="L649" t="s">
        <v>16</v>
      </c>
      <c r="M649">
        <f t="shared" si="30"/>
        <v>790.99</v>
      </c>
      <c r="N649">
        <f t="shared" si="31"/>
        <v>0</v>
      </c>
      <c r="O649">
        <f t="shared" si="32"/>
        <v>790.99</v>
      </c>
    </row>
    <row r="650" spans="1:15" x14ac:dyDescent="0.2">
      <c r="A650" t="s">
        <v>68</v>
      </c>
      <c r="B650">
        <v>60565</v>
      </c>
      <c r="C650" t="s">
        <v>24</v>
      </c>
      <c r="D650" t="s">
        <v>22</v>
      </c>
      <c r="E650" s="3">
        <v>44722</v>
      </c>
      <c r="F650" t="s">
        <v>33</v>
      </c>
      <c r="G650" s="2">
        <v>44871</v>
      </c>
      <c r="H650" t="s">
        <v>69</v>
      </c>
      <c r="I650" s="2">
        <v>44866</v>
      </c>
      <c r="J650">
        <v>932.65</v>
      </c>
      <c r="K650">
        <v>42.6</v>
      </c>
      <c r="L650" t="s">
        <v>16</v>
      </c>
      <c r="M650">
        <f t="shared" si="30"/>
        <v>932.65</v>
      </c>
      <c r="N650">
        <f t="shared" si="31"/>
        <v>0</v>
      </c>
      <c r="O650">
        <f t="shared" si="32"/>
        <v>932.65</v>
      </c>
    </row>
    <row r="651" spans="1:15" x14ac:dyDescent="0.2">
      <c r="A651" t="s">
        <v>70</v>
      </c>
      <c r="B651">
        <v>60540</v>
      </c>
      <c r="C651" t="s">
        <v>24</v>
      </c>
      <c r="D651" t="s">
        <v>22</v>
      </c>
      <c r="E651" s="3">
        <v>44888</v>
      </c>
      <c r="F651" t="s">
        <v>46</v>
      </c>
      <c r="G651" s="2">
        <v>45022</v>
      </c>
      <c r="H651" t="s">
        <v>71</v>
      </c>
      <c r="I651" s="2">
        <v>44866</v>
      </c>
      <c r="J651">
        <v>648.54</v>
      </c>
      <c r="K651">
        <v>42.6</v>
      </c>
      <c r="L651" t="s">
        <v>16</v>
      </c>
      <c r="M651">
        <f t="shared" si="30"/>
        <v>648.54</v>
      </c>
      <c r="N651">
        <f t="shared" si="31"/>
        <v>0</v>
      </c>
      <c r="O651">
        <f t="shared" si="32"/>
        <v>648.54</v>
      </c>
    </row>
    <row r="652" spans="1:15" x14ac:dyDescent="0.2">
      <c r="A652" t="s">
        <v>72</v>
      </c>
      <c r="B652">
        <v>60564</v>
      </c>
      <c r="C652" t="s">
        <v>24</v>
      </c>
      <c r="D652" t="s">
        <v>22</v>
      </c>
      <c r="E652" s="3">
        <v>44735</v>
      </c>
      <c r="F652" t="s">
        <v>36</v>
      </c>
      <c r="G652" s="2">
        <v>44876</v>
      </c>
      <c r="H652" t="s">
        <v>73</v>
      </c>
      <c r="I652" s="2">
        <v>44866</v>
      </c>
      <c r="J652">
        <v>735.57</v>
      </c>
      <c r="K652">
        <v>42.6</v>
      </c>
      <c r="L652" t="s">
        <v>16</v>
      </c>
      <c r="M652">
        <f t="shared" si="30"/>
        <v>735.57</v>
      </c>
      <c r="N652">
        <f t="shared" si="31"/>
        <v>0</v>
      </c>
      <c r="O652">
        <f t="shared" si="32"/>
        <v>735.57</v>
      </c>
    </row>
    <row r="653" spans="1:15" x14ac:dyDescent="0.2">
      <c r="A653" t="s">
        <v>74</v>
      </c>
      <c r="B653">
        <v>60564</v>
      </c>
      <c r="C653" t="s">
        <v>24</v>
      </c>
      <c r="D653" t="s">
        <v>22</v>
      </c>
      <c r="E653" s="3">
        <v>44612</v>
      </c>
      <c r="F653" t="s">
        <v>36</v>
      </c>
      <c r="G653" s="2">
        <v>44890</v>
      </c>
      <c r="H653" t="s">
        <v>75</v>
      </c>
      <c r="I653" s="2">
        <v>44866</v>
      </c>
      <c r="J653">
        <v>879.97</v>
      </c>
      <c r="K653">
        <v>42.6</v>
      </c>
      <c r="L653" t="s">
        <v>16</v>
      </c>
      <c r="M653">
        <f t="shared" si="30"/>
        <v>879.97</v>
      </c>
      <c r="N653">
        <f t="shared" si="31"/>
        <v>0</v>
      </c>
      <c r="O653">
        <f t="shared" si="32"/>
        <v>879.97</v>
      </c>
    </row>
    <row r="654" spans="1:15" x14ac:dyDescent="0.2">
      <c r="A654" t="s">
        <v>76</v>
      </c>
      <c r="B654">
        <v>60565</v>
      </c>
      <c r="C654" t="s">
        <v>24</v>
      </c>
      <c r="D654" t="s">
        <v>22</v>
      </c>
      <c r="E654" s="3">
        <v>44714</v>
      </c>
      <c r="F654" t="s">
        <v>33</v>
      </c>
      <c r="G654" s="2">
        <v>44860</v>
      </c>
      <c r="H654" t="s">
        <v>77</v>
      </c>
      <c r="I654" s="2">
        <v>44866</v>
      </c>
      <c r="J654">
        <v>810.35</v>
      </c>
      <c r="K654">
        <v>42.6</v>
      </c>
      <c r="L654" t="s">
        <v>16</v>
      </c>
      <c r="M654">
        <f t="shared" si="30"/>
        <v>0</v>
      </c>
      <c r="N654">
        <f t="shared" si="31"/>
        <v>810.35</v>
      </c>
      <c r="O654">
        <f t="shared" si="32"/>
        <v>-810.35</v>
      </c>
    </row>
    <row r="655" spans="1:15" x14ac:dyDescent="0.2">
      <c r="A655" t="s">
        <v>64</v>
      </c>
      <c r="B655">
        <v>60564</v>
      </c>
      <c r="C655" t="s">
        <v>24</v>
      </c>
      <c r="D655" t="s">
        <v>22</v>
      </c>
      <c r="E655" s="3">
        <v>44648</v>
      </c>
      <c r="F655" t="s">
        <v>39</v>
      </c>
      <c r="G655" s="2">
        <v>44797</v>
      </c>
      <c r="H655" t="s">
        <v>65</v>
      </c>
      <c r="I655" s="2">
        <v>44896</v>
      </c>
      <c r="J655">
        <v>859.56</v>
      </c>
      <c r="K655">
        <v>52.3</v>
      </c>
      <c r="L655" t="s">
        <v>16</v>
      </c>
      <c r="M655">
        <f t="shared" si="30"/>
        <v>0</v>
      </c>
      <c r="N655">
        <f t="shared" si="31"/>
        <v>859.56</v>
      </c>
      <c r="O655">
        <f t="shared" si="32"/>
        <v>-859.56</v>
      </c>
    </row>
    <row r="656" spans="1:15" x14ac:dyDescent="0.2">
      <c r="A656" t="s">
        <v>66</v>
      </c>
      <c r="B656">
        <v>60564</v>
      </c>
      <c r="C656" t="s">
        <v>24</v>
      </c>
      <c r="D656" t="s">
        <v>22</v>
      </c>
      <c r="E656" s="3">
        <v>44821</v>
      </c>
      <c r="F656" t="s">
        <v>46</v>
      </c>
      <c r="G656" s="2">
        <v>44890</v>
      </c>
      <c r="H656" t="s">
        <v>67</v>
      </c>
      <c r="I656" s="2">
        <v>44896</v>
      </c>
      <c r="J656">
        <v>749.41</v>
      </c>
      <c r="K656">
        <v>52.3</v>
      </c>
      <c r="L656" t="s">
        <v>16</v>
      </c>
      <c r="M656">
        <f t="shared" si="30"/>
        <v>0</v>
      </c>
      <c r="N656">
        <f t="shared" si="31"/>
        <v>749.41</v>
      </c>
      <c r="O656">
        <f t="shared" si="32"/>
        <v>-749.41</v>
      </c>
    </row>
    <row r="657" spans="1:15" x14ac:dyDescent="0.2">
      <c r="A657" t="s">
        <v>68</v>
      </c>
      <c r="B657">
        <v>60565</v>
      </c>
      <c r="C657" t="s">
        <v>24</v>
      </c>
      <c r="D657" t="s">
        <v>22</v>
      </c>
      <c r="E657" s="3">
        <v>44722</v>
      </c>
      <c r="F657" t="s">
        <v>33</v>
      </c>
      <c r="G657" s="2">
        <v>44871</v>
      </c>
      <c r="H657" t="s">
        <v>69</v>
      </c>
      <c r="I657" s="2">
        <v>44896</v>
      </c>
      <c r="J657">
        <v>704.56</v>
      </c>
      <c r="K657">
        <v>52.3</v>
      </c>
      <c r="L657" t="s">
        <v>16</v>
      </c>
      <c r="M657">
        <f t="shared" si="30"/>
        <v>0</v>
      </c>
      <c r="N657">
        <f t="shared" si="31"/>
        <v>704.56</v>
      </c>
      <c r="O657">
        <f t="shared" si="32"/>
        <v>-704.56</v>
      </c>
    </row>
    <row r="658" spans="1:15" x14ac:dyDescent="0.2">
      <c r="A658" t="s">
        <v>70</v>
      </c>
      <c r="B658">
        <v>60540</v>
      </c>
      <c r="C658" t="s">
        <v>24</v>
      </c>
      <c r="D658" t="s">
        <v>22</v>
      </c>
      <c r="E658" s="3">
        <v>44888</v>
      </c>
      <c r="F658" t="s">
        <v>46</v>
      </c>
      <c r="G658" s="2">
        <v>45022</v>
      </c>
      <c r="H658" t="s">
        <v>71</v>
      </c>
      <c r="I658" s="2">
        <v>44896</v>
      </c>
      <c r="J658">
        <v>867.97</v>
      </c>
      <c r="K658">
        <v>52.3</v>
      </c>
      <c r="L658" t="s">
        <v>16</v>
      </c>
      <c r="M658">
        <f t="shared" si="30"/>
        <v>867.97</v>
      </c>
      <c r="N658">
        <f t="shared" si="31"/>
        <v>0</v>
      </c>
      <c r="O658">
        <f t="shared" si="32"/>
        <v>867.97</v>
      </c>
    </row>
    <row r="659" spans="1:15" x14ac:dyDescent="0.2">
      <c r="A659" t="s">
        <v>72</v>
      </c>
      <c r="B659">
        <v>60564</v>
      </c>
      <c r="C659" t="s">
        <v>24</v>
      </c>
      <c r="D659" t="s">
        <v>22</v>
      </c>
      <c r="E659" s="3">
        <v>44735</v>
      </c>
      <c r="F659" t="s">
        <v>36</v>
      </c>
      <c r="G659" s="2">
        <v>44876</v>
      </c>
      <c r="H659" t="s">
        <v>73</v>
      </c>
      <c r="I659" s="2">
        <v>44896</v>
      </c>
      <c r="J659">
        <v>935.6</v>
      </c>
      <c r="K659">
        <v>52.3</v>
      </c>
      <c r="L659" t="s">
        <v>16</v>
      </c>
      <c r="M659">
        <f t="shared" si="30"/>
        <v>0</v>
      </c>
      <c r="N659">
        <f t="shared" si="31"/>
        <v>935.6</v>
      </c>
      <c r="O659">
        <f t="shared" si="32"/>
        <v>-935.6</v>
      </c>
    </row>
    <row r="660" spans="1:15" x14ac:dyDescent="0.2">
      <c r="A660" t="s">
        <v>74</v>
      </c>
      <c r="B660">
        <v>60564</v>
      </c>
      <c r="C660" t="s">
        <v>24</v>
      </c>
      <c r="D660" t="s">
        <v>22</v>
      </c>
      <c r="E660" s="3">
        <v>44612</v>
      </c>
      <c r="F660" t="s">
        <v>36</v>
      </c>
      <c r="G660" s="2">
        <v>44890</v>
      </c>
      <c r="H660" t="s">
        <v>75</v>
      </c>
      <c r="I660" s="2">
        <v>44896</v>
      </c>
      <c r="J660">
        <v>806.9</v>
      </c>
      <c r="K660">
        <v>52.3</v>
      </c>
      <c r="L660" t="s">
        <v>16</v>
      </c>
      <c r="M660">
        <f t="shared" si="30"/>
        <v>0</v>
      </c>
      <c r="N660">
        <f t="shared" si="31"/>
        <v>806.9</v>
      </c>
      <c r="O660">
        <f t="shared" si="32"/>
        <v>-806.9</v>
      </c>
    </row>
    <row r="661" spans="1:15" x14ac:dyDescent="0.2">
      <c r="A661" t="s">
        <v>76</v>
      </c>
      <c r="B661">
        <v>60565</v>
      </c>
      <c r="C661" t="s">
        <v>24</v>
      </c>
      <c r="D661" t="s">
        <v>22</v>
      </c>
      <c r="E661" s="3">
        <v>44714</v>
      </c>
      <c r="F661" t="s">
        <v>33</v>
      </c>
      <c r="G661" s="2">
        <v>44860</v>
      </c>
      <c r="H661" t="s">
        <v>77</v>
      </c>
      <c r="I661" s="2">
        <v>44896</v>
      </c>
      <c r="J661">
        <v>746.56</v>
      </c>
      <c r="K661">
        <v>52.3</v>
      </c>
      <c r="L661" t="s">
        <v>16</v>
      </c>
      <c r="M661">
        <f t="shared" si="30"/>
        <v>0</v>
      </c>
      <c r="N661">
        <f t="shared" si="31"/>
        <v>746.56</v>
      </c>
      <c r="O661">
        <f t="shared" si="32"/>
        <v>-746.56</v>
      </c>
    </row>
    <row r="662" spans="1:15" x14ac:dyDescent="0.2">
      <c r="A662" t="s">
        <v>64</v>
      </c>
      <c r="B662">
        <v>60564</v>
      </c>
      <c r="C662" t="s">
        <v>24</v>
      </c>
      <c r="D662" t="s">
        <v>22</v>
      </c>
      <c r="E662" s="3">
        <v>44648</v>
      </c>
      <c r="F662" t="s">
        <v>39</v>
      </c>
      <c r="G662" s="2">
        <v>44797</v>
      </c>
      <c r="H662" t="s">
        <v>65</v>
      </c>
      <c r="I662" s="2">
        <v>44927</v>
      </c>
      <c r="J662">
        <v>500.85</v>
      </c>
      <c r="K662">
        <v>76.2</v>
      </c>
      <c r="L662" t="s">
        <v>20</v>
      </c>
      <c r="M662">
        <f t="shared" si="30"/>
        <v>0</v>
      </c>
      <c r="N662">
        <f t="shared" si="31"/>
        <v>500.85</v>
      </c>
      <c r="O662">
        <f t="shared" si="32"/>
        <v>-500.85</v>
      </c>
    </row>
    <row r="663" spans="1:15" x14ac:dyDescent="0.2">
      <c r="A663" t="s">
        <v>66</v>
      </c>
      <c r="B663">
        <v>60564</v>
      </c>
      <c r="C663" t="s">
        <v>24</v>
      </c>
      <c r="D663" t="s">
        <v>22</v>
      </c>
      <c r="E663" s="3">
        <v>44821</v>
      </c>
      <c r="F663" t="s">
        <v>46</v>
      </c>
      <c r="G663" s="2">
        <v>44890</v>
      </c>
      <c r="H663" t="s">
        <v>67</v>
      </c>
      <c r="I663" s="2">
        <v>44927</v>
      </c>
      <c r="J663">
        <v>705.07</v>
      </c>
      <c r="K663">
        <v>76.2</v>
      </c>
      <c r="L663" t="s">
        <v>20</v>
      </c>
      <c r="M663">
        <f t="shared" si="30"/>
        <v>0</v>
      </c>
      <c r="N663">
        <f t="shared" si="31"/>
        <v>705.07</v>
      </c>
      <c r="O663">
        <f t="shared" si="32"/>
        <v>-705.07</v>
      </c>
    </row>
    <row r="664" spans="1:15" x14ac:dyDescent="0.2">
      <c r="A664" t="s">
        <v>68</v>
      </c>
      <c r="B664">
        <v>60565</v>
      </c>
      <c r="C664" t="s">
        <v>24</v>
      </c>
      <c r="D664" t="s">
        <v>22</v>
      </c>
      <c r="E664" s="3">
        <v>44722</v>
      </c>
      <c r="F664" t="s">
        <v>33</v>
      </c>
      <c r="G664" s="2">
        <v>44871</v>
      </c>
      <c r="H664" t="s">
        <v>69</v>
      </c>
      <c r="I664" s="2">
        <v>44927</v>
      </c>
      <c r="J664">
        <v>466.04</v>
      </c>
      <c r="K664">
        <v>76.2</v>
      </c>
      <c r="L664" t="s">
        <v>20</v>
      </c>
      <c r="M664">
        <f t="shared" si="30"/>
        <v>0</v>
      </c>
      <c r="N664">
        <f t="shared" si="31"/>
        <v>466.04</v>
      </c>
      <c r="O664">
        <f t="shared" si="32"/>
        <v>-466.04</v>
      </c>
    </row>
    <row r="665" spans="1:15" x14ac:dyDescent="0.2">
      <c r="A665" t="s">
        <v>70</v>
      </c>
      <c r="B665">
        <v>60540</v>
      </c>
      <c r="C665" t="s">
        <v>24</v>
      </c>
      <c r="D665" t="s">
        <v>22</v>
      </c>
      <c r="E665" s="3">
        <v>44888</v>
      </c>
      <c r="F665" t="s">
        <v>46</v>
      </c>
      <c r="G665" s="2">
        <v>45022</v>
      </c>
      <c r="H665" t="s">
        <v>71</v>
      </c>
      <c r="I665" s="2">
        <v>44927</v>
      </c>
      <c r="J665">
        <v>687.72</v>
      </c>
      <c r="K665">
        <v>76.2</v>
      </c>
      <c r="L665" t="s">
        <v>20</v>
      </c>
      <c r="M665">
        <f t="shared" si="30"/>
        <v>687.72</v>
      </c>
      <c r="N665">
        <f t="shared" si="31"/>
        <v>0</v>
      </c>
      <c r="O665">
        <f t="shared" si="32"/>
        <v>687.72</v>
      </c>
    </row>
    <row r="666" spans="1:15" x14ac:dyDescent="0.2">
      <c r="A666" t="s">
        <v>72</v>
      </c>
      <c r="B666">
        <v>60564</v>
      </c>
      <c r="C666" t="s">
        <v>24</v>
      </c>
      <c r="D666" t="s">
        <v>22</v>
      </c>
      <c r="E666" s="3">
        <v>44735</v>
      </c>
      <c r="F666" t="s">
        <v>36</v>
      </c>
      <c r="G666" s="2">
        <v>44876</v>
      </c>
      <c r="H666" t="s">
        <v>73</v>
      </c>
      <c r="I666" s="2">
        <v>44927</v>
      </c>
      <c r="J666">
        <v>626.04</v>
      </c>
      <c r="K666">
        <v>76.2</v>
      </c>
      <c r="L666" t="s">
        <v>20</v>
      </c>
      <c r="M666">
        <f t="shared" si="30"/>
        <v>0</v>
      </c>
      <c r="N666">
        <f t="shared" si="31"/>
        <v>626.04</v>
      </c>
      <c r="O666">
        <f t="shared" si="32"/>
        <v>-626.04</v>
      </c>
    </row>
    <row r="667" spans="1:15" x14ac:dyDescent="0.2">
      <c r="A667" t="s">
        <v>74</v>
      </c>
      <c r="B667">
        <v>60564</v>
      </c>
      <c r="C667" t="s">
        <v>24</v>
      </c>
      <c r="D667" t="s">
        <v>22</v>
      </c>
      <c r="E667" s="3">
        <v>44612</v>
      </c>
      <c r="F667" t="s">
        <v>36</v>
      </c>
      <c r="G667" s="2">
        <v>44890</v>
      </c>
      <c r="H667" t="s">
        <v>75</v>
      </c>
      <c r="I667" s="2">
        <v>44927</v>
      </c>
      <c r="J667">
        <v>776.87</v>
      </c>
      <c r="K667">
        <v>76.2</v>
      </c>
      <c r="L667" t="s">
        <v>20</v>
      </c>
      <c r="M667">
        <f t="shared" si="30"/>
        <v>0</v>
      </c>
      <c r="N667">
        <f t="shared" si="31"/>
        <v>776.87</v>
      </c>
      <c r="O667">
        <f t="shared" si="32"/>
        <v>-776.87</v>
      </c>
    </row>
    <row r="668" spans="1:15" x14ac:dyDescent="0.2">
      <c r="A668" t="s">
        <v>76</v>
      </c>
      <c r="B668">
        <v>60565</v>
      </c>
      <c r="C668" t="s">
        <v>24</v>
      </c>
      <c r="D668" t="s">
        <v>22</v>
      </c>
      <c r="E668" s="3">
        <v>44714</v>
      </c>
      <c r="F668" t="s">
        <v>33</v>
      </c>
      <c r="G668" s="2">
        <v>44860</v>
      </c>
      <c r="H668" t="s">
        <v>77</v>
      </c>
      <c r="I668" s="2">
        <v>44927</v>
      </c>
      <c r="J668">
        <v>504.75</v>
      </c>
      <c r="K668">
        <v>76.2</v>
      </c>
      <c r="L668" t="s">
        <v>20</v>
      </c>
      <c r="M668">
        <f t="shared" si="30"/>
        <v>0</v>
      </c>
      <c r="N668">
        <f t="shared" si="31"/>
        <v>504.75</v>
      </c>
      <c r="O668">
        <f t="shared" si="32"/>
        <v>-504.75</v>
      </c>
    </row>
    <row r="669" spans="1:15" x14ac:dyDescent="0.2">
      <c r="A669" t="s">
        <v>64</v>
      </c>
      <c r="B669">
        <v>60564</v>
      </c>
      <c r="C669" t="s">
        <v>24</v>
      </c>
      <c r="D669" t="s">
        <v>22</v>
      </c>
      <c r="E669" s="3">
        <v>44648</v>
      </c>
      <c r="F669" t="s">
        <v>39</v>
      </c>
      <c r="G669" s="2">
        <v>44797</v>
      </c>
      <c r="H669" t="s">
        <v>65</v>
      </c>
      <c r="I669" s="2">
        <v>44958</v>
      </c>
      <c r="J669">
        <v>742.6</v>
      </c>
      <c r="K669">
        <v>73.7</v>
      </c>
      <c r="L669" t="s">
        <v>20</v>
      </c>
      <c r="M669">
        <f t="shared" si="30"/>
        <v>0</v>
      </c>
      <c r="N669">
        <f t="shared" si="31"/>
        <v>742.6</v>
      </c>
      <c r="O669">
        <f t="shared" si="32"/>
        <v>-742.6</v>
      </c>
    </row>
    <row r="670" spans="1:15" x14ac:dyDescent="0.2">
      <c r="A670" t="s">
        <v>66</v>
      </c>
      <c r="B670">
        <v>60564</v>
      </c>
      <c r="C670" t="s">
        <v>24</v>
      </c>
      <c r="D670" t="s">
        <v>22</v>
      </c>
      <c r="E670" s="3">
        <v>44821</v>
      </c>
      <c r="F670" t="s">
        <v>46</v>
      </c>
      <c r="G670" s="2">
        <v>44890</v>
      </c>
      <c r="H670" t="s">
        <v>67</v>
      </c>
      <c r="I670" s="2">
        <v>44958</v>
      </c>
      <c r="J670">
        <v>749.46</v>
      </c>
      <c r="K670">
        <v>73.7</v>
      </c>
      <c r="L670" t="s">
        <v>20</v>
      </c>
      <c r="M670">
        <f t="shared" si="30"/>
        <v>0</v>
      </c>
      <c r="N670">
        <f t="shared" si="31"/>
        <v>749.46</v>
      </c>
      <c r="O670">
        <f t="shared" si="32"/>
        <v>-749.46</v>
      </c>
    </row>
    <row r="671" spans="1:15" x14ac:dyDescent="0.2">
      <c r="A671" t="s">
        <v>68</v>
      </c>
      <c r="B671">
        <v>60565</v>
      </c>
      <c r="C671" t="s">
        <v>24</v>
      </c>
      <c r="D671" t="s">
        <v>22</v>
      </c>
      <c r="E671" s="3">
        <v>44722</v>
      </c>
      <c r="F671" t="s">
        <v>33</v>
      </c>
      <c r="G671" s="2">
        <v>44871</v>
      </c>
      <c r="H671" t="s">
        <v>69</v>
      </c>
      <c r="I671" s="2">
        <v>44958</v>
      </c>
      <c r="J671">
        <v>664.85</v>
      </c>
      <c r="K671">
        <v>73.7</v>
      </c>
      <c r="L671" t="s">
        <v>20</v>
      </c>
      <c r="M671">
        <f t="shared" si="30"/>
        <v>0</v>
      </c>
      <c r="N671">
        <f t="shared" si="31"/>
        <v>664.85</v>
      </c>
      <c r="O671">
        <f t="shared" si="32"/>
        <v>-664.85</v>
      </c>
    </row>
    <row r="672" spans="1:15" x14ac:dyDescent="0.2">
      <c r="A672" t="s">
        <v>70</v>
      </c>
      <c r="B672">
        <v>60540</v>
      </c>
      <c r="C672" t="s">
        <v>24</v>
      </c>
      <c r="D672" t="s">
        <v>22</v>
      </c>
      <c r="E672" s="3">
        <v>44888</v>
      </c>
      <c r="F672" t="s">
        <v>46</v>
      </c>
      <c r="G672" s="2">
        <v>45022</v>
      </c>
      <c r="H672" t="s">
        <v>71</v>
      </c>
      <c r="I672" s="2">
        <v>44958</v>
      </c>
      <c r="J672">
        <v>764.89</v>
      </c>
      <c r="K672">
        <v>73.7</v>
      </c>
      <c r="L672" t="s">
        <v>20</v>
      </c>
      <c r="M672">
        <f t="shared" si="30"/>
        <v>764.89</v>
      </c>
      <c r="N672">
        <f t="shared" si="31"/>
        <v>0</v>
      </c>
      <c r="O672">
        <f t="shared" si="32"/>
        <v>764.89</v>
      </c>
    </row>
    <row r="673" spans="1:15" x14ac:dyDescent="0.2">
      <c r="A673" t="s">
        <v>72</v>
      </c>
      <c r="B673">
        <v>60564</v>
      </c>
      <c r="C673" t="s">
        <v>24</v>
      </c>
      <c r="D673" t="s">
        <v>22</v>
      </c>
      <c r="E673" s="3">
        <v>44735</v>
      </c>
      <c r="F673" t="s">
        <v>36</v>
      </c>
      <c r="G673" s="2">
        <v>44876</v>
      </c>
      <c r="H673" t="s">
        <v>73</v>
      </c>
      <c r="I673" s="2">
        <v>44958</v>
      </c>
      <c r="J673">
        <v>635.08000000000004</v>
      </c>
      <c r="K673">
        <v>73.7</v>
      </c>
      <c r="L673" t="s">
        <v>20</v>
      </c>
      <c r="M673">
        <f t="shared" si="30"/>
        <v>0</v>
      </c>
      <c r="N673">
        <f t="shared" si="31"/>
        <v>635.08000000000004</v>
      </c>
      <c r="O673">
        <f t="shared" si="32"/>
        <v>-635.08000000000004</v>
      </c>
    </row>
    <row r="674" spans="1:15" x14ac:dyDescent="0.2">
      <c r="A674" t="s">
        <v>74</v>
      </c>
      <c r="B674">
        <v>60564</v>
      </c>
      <c r="C674" t="s">
        <v>24</v>
      </c>
      <c r="D674" t="s">
        <v>22</v>
      </c>
      <c r="E674" s="3">
        <v>44612</v>
      </c>
      <c r="F674" t="s">
        <v>36</v>
      </c>
      <c r="G674" s="2">
        <v>44890</v>
      </c>
      <c r="H674" t="s">
        <v>75</v>
      </c>
      <c r="I674" s="2">
        <v>44958</v>
      </c>
      <c r="J674">
        <v>621.97</v>
      </c>
      <c r="K674">
        <v>73.7</v>
      </c>
      <c r="L674" t="s">
        <v>20</v>
      </c>
      <c r="M674">
        <f t="shared" si="30"/>
        <v>0</v>
      </c>
      <c r="N674">
        <f t="shared" si="31"/>
        <v>621.97</v>
      </c>
      <c r="O674">
        <f t="shared" si="32"/>
        <v>-621.97</v>
      </c>
    </row>
    <row r="675" spans="1:15" x14ac:dyDescent="0.2">
      <c r="A675" t="s">
        <v>76</v>
      </c>
      <c r="B675">
        <v>60565</v>
      </c>
      <c r="C675" t="s">
        <v>24</v>
      </c>
      <c r="D675" t="s">
        <v>22</v>
      </c>
      <c r="E675" s="3">
        <v>44714</v>
      </c>
      <c r="F675" t="s">
        <v>33</v>
      </c>
      <c r="G675" s="2">
        <v>44860</v>
      </c>
      <c r="H675" t="s">
        <v>77</v>
      </c>
      <c r="I675" s="2">
        <v>44958</v>
      </c>
      <c r="J675">
        <v>672.05</v>
      </c>
      <c r="K675">
        <v>73.7</v>
      </c>
      <c r="L675" t="s">
        <v>20</v>
      </c>
      <c r="M675">
        <f t="shared" si="30"/>
        <v>0</v>
      </c>
      <c r="N675">
        <f t="shared" si="31"/>
        <v>672.05</v>
      </c>
      <c r="O675">
        <f t="shared" si="32"/>
        <v>-672.05</v>
      </c>
    </row>
    <row r="676" spans="1:15" x14ac:dyDescent="0.2">
      <c r="A676" t="s">
        <v>64</v>
      </c>
      <c r="B676">
        <v>60564</v>
      </c>
      <c r="C676" t="s">
        <v>24</v>
      </c>
      <c r="D676" t="s">
        <v>22</v>
      </c>
      <c r="E676" s="3">
        <v>44648</v>
      </c>
      <c r="F676" t="s">
        <v>39</v>
      </c>
      <c r="G676" s="2">
        <v>44797</v>
      </c>
      <c r="H676" t="s">
        <v>65</v>
      </c>
      <c r="I676" s="2">
        <v>44986</v>
      </c>
      <c r="J676">
        <v>645.87</v>
      </c>
      <c r="K676">
        <v>52.8</v>
      </c>
      <c r="L676" t="s">
        <v>16</v>
      </c>
      <c r="M676">
        <f t="shared" si="30"/>
        <v>0</v>
      </c>
      <c r="N676">
        <f t="shared" si="31"/>
        <v>645.87</v>
      </c>
      <c r="O676">
        <f t="shared" si="32"/>
        <v>-645.87</v>
      </c>
    </row>
    <row r="677" spans="1:15" x14ac:dyDescent="0.2">
      <c r="A677" t="s">
        <v>66</v>
      </c>
      <c r="B677">
        <v>60564</v>
      </c>
      <c r="C677" t="s">
        <v>24</v>
      </c>
      <c r="D677" t="s">
        <v>22</v>
      </c>
      <c r="E677" s="3">
        <v>44821</v>
      </c>
      <c r="F677" t="s">
        <v>46</v>
      </c>
      <c r="G677" s="2">
        <v>44890</v>
      </c>
      <c r="H677" t="s">
        <v>67</v>
      </c>
      <c r="I677" s="2">
        <v>44986</v>
      </c>
      <c r="J677">
        <v>867.83</v>
      </c>
      <c r="K677">
        <v>52.8</v>
      </c>
      <c r="L677" t="s">
        <v>16</v>
      </c>
      <c r="M677">
        <f t="shared" si="30"/>
        <v>0</v>
      </c>
      <c r="N677">
        <f t="shared" si="31"/>
        <v>867.83</v>
      </c>
      <c r="O677">
        <f t="shared" si="32"/>
        <v>-867.83</v>
      </c>
    </row>
    <row r="678" spans="1:15" x14ac:dyDescent="0.2">
      <c r="A678" t="s">
        <v>68</v>
      </c>
      <c r="B678">
        <v>60565</v>
      </c>
      <c r="C678" t="s">
        <v>24</v>
      </c>
      <c r="D678" t="s">
        <v>22</v>
      </c>
      <c r="E678" s="3">
        <v>44722</v>
      </c>
      <c r="F678" t="s">
        <v>33</v>
      </c>
      <c r="G678" s="2">
        <v>44871</v>
      </c>
      <c r="H678" t="s">
        <v>69</v>
      </c>
      <c r="I678" s="2">
        <v>44986</v>
      </c>
      <c r="J678">
        <v>598.07000000000005</v>
      </c>
      <c r="K678">
        <v>52.8</v>
      </c>
      <c r="L678" t="s">
        <v>16</v>
      </c>
      <c r="M678">
        <f t="shared" si="30"/>
        <v>0</v>
      </c>
      <c r="N678">
        <f t="shared" si="31"/>
        <v>598.07000000000005</v>
      </c>
      <c r="O678">
        <f t="shared" si="32"/>
        <v>-598.07000000000005</v>
      </c>
    </row>
    <row r="679" spans="1:15" x14ac:dyDescent="0.2">
      <c r="A679" t="s">
        <v>70</v>
      </c>
      <c r="B679">
        <v>60540</v>
      </c>
      <c r="C679" t="s">
        <v>24</v>
      </c>
      <c r="D679" t="s">
        <v>22</v>
      </c>
      <c r="E679" s="3">
        <v>44888</v>
      </c>
      <c r="F679" t="s">
        <v>46</v>
      </c>
      <c r="G679" s="2">
        <v>45022</v>
      </c>
      <c r="H679" t="s">
        <v>71</v>
      </c>
      <c r="I679" s="2">
        <v>44986</v>
      </c>
      <c r="J679">
        <v>778.03</v>
      </c>
      <c r="K679">
        <v>52.8</v>
      </c>
      <c r="L679" t="s">
        <v>16</v>
      </c>
      <c r="M679">
        <f t="shared" si="30"/>
        <v>778.03</v>
      </c>
      <c r="N679">
        <f t="shared" si="31"/>
        <v>0</v>
      </c>
      <c r="O679">
        <f t="shared" si="32"/>
        <v>778.03</v>
      </c>
    </row>
    <row r="680" spans="1:15" x14ac:dyDescent="0.2">
      <c r="A680" t="s">
        <v>72</v>
      </c>
      <c r="B680">
        <v>60564</v>
      </c>
      <c r="C680" t="s">
        <v>24</v>
      </c>
      <c r="D680" t="s">
        <v>22</v>
      </c>
      <c r="E680" s="3">
        <v>44735</v>
      </c>
      <c r="F680" t="s">
        <v>36</v>
      </c>
      <c r="G680" s="2">
        <v>44876</v>
      </c>
      <c r="H680" t="s">
        <v>73</v>
      </c>
      <c r="I680" s="2">
        <v>44986</v>
      </c>
      <c r="J680">
        <v>615.15</v>
      </c>
      <c r="K680">
        <v>52.8</v>
      </c>
      <c r="L680" t="s">
        <v>16</v>
      </c>
      <c r="M680">
        <f t="shared" si="30"/>
        <v>0</v>
      </c>
      <c r="N680">
        <f t="shared" si="31"/>
        <v>615.15</v>
      </c>
      <c r="O680">
        <f t="shared" si="32"/>
        <v>-615.15</v>
      </c>
    </row>
    <row r="681" spans="1:15" x14ac:dyDescent="0.2">
      <c r="A681" t="s">
        <v>74</v>
      </c>
      <c r="B681">
        <v>60564</v>
      </c>
      <c r="C681" t="s">
        <v>24</v>
      </c>
      <c r="D681" t="s">
        <v>22</v>
      </c>
      <c r="E681" s="3">
        <v>44612</v>
      </c>
      <c r="F681" t="s">
        <v>36</v>
      </c>
      <c r="G681" s="2">
        <v>44890</v>
      </c>
      <c r="H681" t="s">
        <v>75</v>
      </c>
      <c r="I681" s="2">
        <v>44986</v>
      </c>
      <c r="J681">
        <v>878.07</v>
      </c>
      <c r="K681">
        <v>52.8</v>
      </c>
      <c r="L681" t="s">
        <v>16</v>
      </c>
      <c r="M681">
        <f t="shared" si="30"/>
        <v>0</v>
      </c>
      <c r="N681">
        <f t="shared" si="31"/>
        <v>878.07</v>
      </c>
      <c r="O681">
        <f t="shared" si="32"/>
        <v>-878.07</v>
      </c>
    </row>
    <row r="682" spans="1:15" x14ac:dyDescent="0.2">
      <c r="A682" t="s">
        <v>76</v>
      </c>
      <c r="B682">
        <v>60565</v>
      </c>
      <c r="C682" t="s">
        <v>24</v>
      </c>
      <c r="D682" t="s">
        <v>22</v>
      </c>
      <c r="E682" s="3">
        <v>44714</v>
      </c>
      <c r="F682" t="s">
        <v>33</v>
      </c>
      <c r="G682" s="2">
        <v>44860</v>
      </c>
      <c r="H682" t="s">
        <v>77</v>
      </c>
      <c r="I682" s="2">
        <v>44986</v>
      </c>
      <c r="J682">
        <v>735.75</v>
      </c>
      <c r="K682">
        <v>52.8</v>
      </c>
      <c r="L682" t="s">
        <v>16</v>
      </c>
      <c r="M682">
        <f t="shared" si="30"/>
        <v>0</v>
      </c>
      <c r="N682">
        <f t="shared" si="31"/>
        <v>735.75</v>
      </c>
      <c r="O682">
        <f t="shared" si="32"/>
        <v>-735.75</v>
      </c>
    </row>
    <row r="683" spans="1:15" x14ac:dyDescent="0.2">
      <c r="A683" t="s">
        <v>64</v>
      </c>
      <c r="B683">
        <v>60564</v>
      </c>
      <c r="C683" t="s">
        <v>24</v>
      </c>
      <c r="D683" t="s">
        <v>22</v>
      </c>
      <c r="E683" s="3">
        <v>44648</v>
      </c>
      <c r="F683" t="s">
        <v>39</v>
      </c>
      <c r="G683" s="2">
        <v>44797</v>
      </c>
      <c r="H683" t="s">
        <v>65</v>
      </c>
      <c r="I683" s="2">
        <v>45017</v>
      </c>
      <c r="J683">
        <v>777.68</v>
      </c>
      <c r="K683">
        <v>103.1</v>
      </c>
      <c r="L683" t="s">
        <v>20</v>
      </c>
      <c r="M683">
        <f t="shared" si="30"/>
        <v>0</v>
      </c>
      <c r="N683">
        <f t="shared" si="31"/>
        <v>777.68</v>
      </c>
      <c r="O683">
        <f t="shared" si="32"/>
        <v>-777.68</v>
      </c>
    </row>
    <row r="684" spans="1:15" x14ac:dyDescent="0.2">
      <c r="A684" t="s">
        <v>66</v>
      </c>
      <c r="B684">
        <v>60564</v>
      </c>
      <c r="C684" t="s">
        <v>24</v>
      </c>
      <c r="D684" t="s">
        <v>22</v>
      </c>
      <c r="E684" s="3">
        <v>44821</v>
      </c>
      <c r="F684" t="s">
        <v>46</v>
      </c>
      <c r="G684" s="2">
        <v>44890</v>
      </c>
      <c r="H684" t="s">
        <v>67</v>
      </c>
      <c r="I684" s="2">
        <v>45017</v>
      </c>
      <c r="J684">
        <v>512.54999999999995</v>
      </c>
      <c r="K684">
        <v>103.1</v>
      </c>
      <c r="L684" t="s">
        <v>20</v>
      </c>
      <c r="M684">
        <f t="shared" si="30"/>
        <v>0</v>
      </c>
      <c r="N684">
        <f t="shared" si="31"/>
        <v>512.54999999999995</v>
      </c>
      <c r="O684">
        <f t="shared" si="32"/>
        <v>-512.54999999999995</v>
      </c>
    </row>
    <row r="685" spans="1:15" x14ac:dyDescent="0.2">
      <c r="A685" t="s">
        <v>68</v>
      </c>
      <c r="B685">
        <v>60565</v>
      </c>
      <c r="C685" t="s">
        <v>24</v>
      </c>
      <c r="D685" t="s">
        <v>22</v>
      </c>
      <c r="E685" s="3">
        <v>44722</v>
      </c>
      <c r="F685" t="s">
        <v>33</v>
      </c>
      <c r="G685" s="2">
        <v>44871</v>
      </c>
      <c r="H685" t="s">
        <v>69</v>
      </c>
      <c r="I685" s="2">
        <v>45017</v>
      </c>
      <c r="J685">
        <v>783.2</v>
      </c>
      <c r="K685">
        <v>103.1</v>
      </c>
      <c r="L685" t="s">
        <v>20</v>
      </c>
      <c r="M685">
        <f t="shared" si="30"/>
        <v>0</v>
      </c>
      <c r="N685">
        <f t="shared" si="31"/>
        <v>783.2</v>
      </c>
      <c r="O685">
        <f t="shared" si="32"/>
        <v>-783.2</v>
      </c>
    </row>
    <row r="686" spans="1:15" x14ac:dyDescent="0.2">
      <c r="A686" t="s">
        <v>70</v>
      </c>
      <c r="B686">
        <v>60540</v>
      </c>
      <c r="C686" t="s">
        <v>24</v>
      </c>
      <c r="D686" t="s">
        <v>22</v>
      </c>
      <c r="E686" s="3">
        <v>44888</v>
      </c>
      <c r="F686" t="s">
        <v>46</v>
      </c>
      <c r="G686" s="2">
        <v>45022</v>
      </c>
      <c r="H686" t="s">
        <v>71</v>
      </c>
      <c r="I686" s="2">
        <v>45017</v>
      </c>
      <c r="J686">
        <v>715.11</v>
      </c>
      <c r="K686">
        <v>103.1</v>
      </c>
      <c r="L686" t="s">
        <v>20</v>
      </c>
      <c r="M686">
        <f t="shared" si="30"/>
        <v>715.11</v>
      </c>
      <c r="N686">
        <f t="shared" si="31"/>
        <v>0</v>
      </c>
      <c r="O686">
        <f t="shared" si="32"/>
        <v>715.11</v>
      </c>
    </row>
    <row r="687" spans="1:15" x14ac:dyDescent="0.2">
      <c r="A687" t="s">
        <v>72</v>
      </c>
      <c r="B687">
        <v>60564</v>
      </c>
      <c r="C687" t="s">
        <v>24</v>
      </c>
      <c r="D687" t="s">
        <v>22</v>
      </c>
      <c r="E687" s="3">
        <v>44735</v>
      </c>
      <c r="F687" t="s">
        <v>36</v>
      </c>
      <c r="G687" s="2">
        <v>44876</v>
      </c>
      <c r="H687" t="s">
        <v>73</v>
      </c>
      <c r="I687" s="2">
        <v>45017</v>
      </c>
      <c r="J687">
        <v>606.38</v>
      </c>
      <c r="K687">
        <v>103.1</v>
      </c>
      <c r="L687" t="s">
        <v>20</v>
      </c>
      <c r="M687">
        <f t="shared" si="30"/>
        <v>0</v>
      </c>
      <c r="N687">
        <f t="shared" si="31"/>
        <v>606.38</v>
      </c>
      <c r="O687">
        <f t="shared" si="32"/>
        <v>-606.38</v>
      </c>
    </row>
    <row r="688" spans="1:15" x14ac:dyDescent="0.2">
      <c r="A688" t="s">
        <v>74</v>
      </c>
      <c r="B688">
        <v>60564</v>
      </c>
      <c r="C688" t="s">
        <v>24</v>
      </c>
      <c r="D688" t="s">
        <v>22</v>
      </c>
      <c r="E688" s="3">
        <v>44612</v>
      </c>
      <c r="F688" t="s">
        <v>36</v>
      </c>
      <c r="G688" s="2">
        <v>44890</v>
      </c>
      <c r="H688" t="s">
        <v>75</v>
      </c>
      <c r="I688" s="2">
        <v>45017</v>
      </c>
      <c r="J688">
        <v>725.25</v>
      </c>
      <c r="K688">
        <v>103.1</v>
      </c>
      <c r="L688" t="s">
        <v>20</v>
      </c>
      <c r="M688">
        <f t="shared" si="30"/>
        <v>0</v>
      </c>
      <c r="N688">
        <f t="shared" si="31"/>
        <v>725.25</v>
      </c>
      <c r="O688">
        <f t="shared" si="32"/>
        <v>-725.25</v>
      </c>
    </row>
    <row r="689" spans="1:15" x14ac:dyDescent="0.2">
      <c r="A689" t="s">
        <v>76</v>
      </c>
      <c r="B689">
        <v>60565</v>
      </c>
      <c r="C689" t="s">
        <v>24</v>
      </c>
      <c r="D689" t="s">
        <v>22</v>
      </c>
      <c r="E689" s="3">
        <v>44714</v>
      </c>
      <c r="F689" t="s">
        <v>33</v>
      </c>
      <c r="G689" s="2">
        <v>44860</v>
      </c>
      <c r="H689" t="s">
        <v>77</v>
      </c>
      <c r="I689" s="2">
        <v>45017</v>
      </c>
      <c r="J689">
        <v>641.27</v>
      </c>
      <c r="K689">
        <v>103.1</v>
      </c>
      <c r="L689" t="s">
        <v>20</v>
      </c>
      <c r="M689">
        <f t="shared" si="30"/>
        <v>0</v>
      </c>
      <c r="N689">
        <f t="shared" si="31"/>
        <v>641.27</v>
      </c>
      <c r="O689">
        <f t="shared" si="32"/>
        <v>-641.27</v>
      </c>
    </row>
    <row r="690" spans="1:15" x14ac:dyDescent="0.2">
      <c r="A690" t="s">
        <v>64</v>
      </c>
      <c r="B690">
        <v>60564</v>
      </c>
      <c r="C690" t="s">
        <v>24</v>
      </c>
      <c r="D690" t="s">
        <v>22</v>
      </c>
      <c r="E690" s="3">
        <v>44648</v>
      </c>
      <c r="F690" t="s">
        <v>39</v>
      </c>
      <c r="G690" s="2">
        <v>44797</v>
      </c>
      <c r="H690" t="s">
        <v>65</v>
      </c>
      <c r="I690" s="2">
        <v>45047</v>
      </c>
      <c r="J690">
        <v>695.24</v>
      </c>
      <c r="K690">
        <v>40.6</v>
      </c>
      <c r="L690" t="s">
        <v>16</v>
      </c>
      <c r="M690">
        <f t="shared" si="30"/>
        <v>0</v>
      </c>
      <c r="N690">
        <f t="shared" si="31"/>
        <v>695.24</v>
      </c>
      <c r="O690">
        <f t="shared" si="32"/>
        <v>-695.24</v>
      </c>
    </row>
    <row r="691" spans="1:15" x14ac:dyDescent="0.2">
      <c r="A691" t="s">
        <v>66</v>
      </c>
      <c r="B691">
        <v>60564</v>
      </c>
      <c r="C691" t="s">
        <v>24</v>
      </c>
      <c r="D691" t="s">
        <v>22</v>
      </c>
      <c r="E691" s="3">
        <v>44821</v>
      </c>
      <c r="F691" t="s">
        <v>46</v>
      </c>
      <c r="G691" s="2">
        <v>44890</v>
      </c>
      <c r="H691" t="s">
        <v>67</v>
      </c>
      <c r="I691" s="2">
        <v>45047</v>
      </c>
      <c r="J691">
        <v>861.08</v>
      </c>
      <c r="K691">
        <v>40.6</v>
      </c>
      <c r="L691" t="s">
        <v>16</v>
      </c>
      <c r="M691">
        <f t="shared" si="30"/>
        <v>0</v>
      </c>
      <c r="N691">
        <f t="shared" si="31"/>
        <v>861.08</v>
      </c>
      <c r="O691">
        <f t="shared" si="32"/>
        <v>-861.08</v>
      </c>
    </row>
    <row r="692" spans="1:15" x14ac:dyDescent="0.2">
      <c r="A692" t="s">
        <v>68</v>
      </c>
      <c r="B692">
        <v>60565</v>
      </c>
      <c r="C692" t="s">
        <v>24</v>
      </c>
      <c r="D692" t="s">
        <v>22</v>
      </c>
      <c r="E692" s="3">
        <v>44722</v>
      </c>
      <c r="F692" t="s">
        <v>33</v>
      </c>
      <c r="G692" s="2">
        <v>44871</v>
      </c>
      <c r="H692" t="s">
        <v>69</v>
      </c>
      <c r="I692" s="2">
        <v>45047</v>
      </c>
      <c r="J692">
        <v>627.57000000000005</v>
      </c>
      <c r="K692">
        <v>40.6</v>
      </c>
      <c r="L692" t="s">
        <v>16</v>
      </c>
      <c r="M692">
        <f t="shared" si="30"/>
        <v>0</v>
      </c>
      <c r="N692">
        <f t="shared" si="31"/>
        <v>627.57000000000005</v>
      </c>
      <c r="O692">
        <f t="shared" si="32"/>
        <v>-627.57000000000005</v>
      </c>
    </row>
    <row r="693" spans="1:15" x14ac:dyDescent="0.2">
      <c r="A693" t="s">
        <v>70</v>
      </c>
      <c r="B693">
        <v>60540</v>
      </c>
      <c r="C693" t="s">
        <v>24</v>
      </c>
      <c r="D693" t="s">
        <v>22</v>
      </c>
      <c r="E693" s="3">
        <v>44888</v>
      </c>
      <c r="F693" t="s">
        <v>46</v>
      </c>
      <c r="G693" s="2">
        <v>45022</v>
      </c>
      <c r="H693" t="s">
        <v>71</v>
      </c>
      <c r="I693" s="2">
        <v>45047</v>
      </c>
      <c r="J693">
        <v>576.83000000000004</v>
      </c>
      <c r="K693">
        <v>40.6</v>
      </c>
      <c r="L693" t="s">
        <v>16</v>
      </c>
      <c r="M693">
        <f t="shared" si="30"/>
        <v>0</v>
      </c>
      <c r="N693">
        <f t="shared" si="31"/>
        <v>576.83000000000004</v>
      </c>
      <c r="O693">
        <f t="shared" si="32"/>
        <v>-576.83000000000004</v>
      </c>
    </row>
    <row r="694" spans="1:15" x14ac:dyDescent="0.2">
      <c r="A694" t="s">
        <v>72</v>
      </c>
      <c r="B694">
        <v>60564</v>
      </c>
      <c r="C694" t="s">
        <v>24</v>
      </c>
      <c r="D694" t="s">
        <v>22</v>
      </c>
      <c r="E694" s="3">
        <v>44735</v>
      </c>
      <c r="F694" t="s">
        <v>36</v>
      </c>
      <c r="G694" s="2">
        <v>44876</v>
      </c>
      <c r="H694" t="s">
        <v>73</v>
      </c>
      <c r="I694" s="2">
        <v>45047</v>
      </c>
      <c r="J694">
        <v>733.32</v>
      </c>
      <c r="K694">
        <v>40.6</v>
      </c>
      <c r="L694" t="s">
        <v>16</v>
      </c>
      <c r="M694">
        <f t="shared" si="30"/>
        <v>0</v>
      </c>
      <c r="N694">
        <f t="shared" si="31"/>
        <v>733.32</v>
      </c>
      <c r="O694">
        <f t="shared" si="32"/>
        <v>-733.32</v>
      </c>
    </row>
    <row r="695" spans="1:15" x14ac:dyDescent="0.2">
      <c r="A695" t="s">
        <v>74</v>
      </c>
      <c r="B695">
        <v>60564</v>
      </c>
      <c r="C695" t="s">
        <v>24</v>
      </c>
      <c r="D695" t="s">
        <v>22</v>
      </c>
      <c r="E695" s="3">
        <v>44612</v>
      </c>
      <c r="F695" t="s">
        <v>36</v>
      </c>
      <c r="G695" s="2">
        <v>44890</v>
      </c>
      <c r="H695" t="s">
        <v>75</v>
      </c>
      <c r="I695" s="2">
        <v>45047</v>
      </c>
      <c r="J695">
        <v>740.02</v>
      </c>
      <c r="K695">
        <v>40.6</v>
      </c>
      <c r="L695" t="s">
        <v>16</v>
      </c>
      <c r="M695">
        <f t="shared" si="30"/>
        <v>0</v>
      </c>
      <c r="N695">
        <f t="shared" si="31"/>
        <v>740.02</v>
      </c>
      <c r="O695">
        <f t="shared" si="32"/>
        <v>-740.02</v>
      </c>
    </row>
    <row r="696" spans="1:15" x14ac:dyDescent="0.2">
      <c r="A696" t="s">
        <v>76</v>
      </c>
      <c r="B696">
        <v>60565</v>
      </c>
      <c r="C696" t="s">
        <v>24</v>
      </c>
      <c r="D696" t="s">
        <v>22</v>
      </c>
      <c r="E696" s="3">
        <v>44714</v>
      </c>
      <c r="F696" t="s">
        <v>33</v>
      </c>
      <c r="G696" s="2">
        <v>44860</v>
      </c>
      <c r="H696" t="s">
        <v>77</v>
      </c>
      <c r="I696" s="2">
        <v>45047</v>
      </c>
      <c r="J696">
        <v>680.72</v>
      </c>
      <c r="K696">
        <v>40.6</v>
      </c>
      <c r="L696" t="s">
        <v>16</v>
      </c>
      <c r="M696">
        <f t="shared" si="30"/>
        <v>0</v>
      </c>
      <c r="N696">
        <f t="shared" si="31"/>
        <v>680.72</v>
      </c>
      <c r="O696">
        <f t="shared" si="32"/>
        <v>-680.72</v>
      </c>
    </row>
    <row r="697" spans="1:15" x14ac:dyDescent="0.2">
      <c r="A697" t="s">
        <v>64</v>
      </c>
      <c r="B697">
        <v>60564</v>
      </c>
      <c r="C697" t="s">
        <v>24</v>
      </c>
      <c r="D697" t="s">
        <v>22</v>
      </c>
      <c r="E697" s="3">
        <v>44648</v>
      </c>
      <c r="F697" t="s">
        <v>39</v>
      </c>
      <c r="G697" s="2">
        <v>44797</v>
      </c>
      <c r="H697" t="s">
        <v>65</v>
      </c>
      <c r="I697" s="2">
        <v>45078</v>
      </c>
      <c r="J697">
        <v>751.87</v>
      </c>
      <c r="K697">
        <v>76</v>
      </c>
      <c r="L697" t="s">
        <v>20</v>
      </c>
      <c r="M697">
        <f t="shared" si="30"/>
        <v>0</v>
      </c>
      <c r="N697">
        <f t="shared" si="31"/>
        <v>751.87</v>
      </c>
      <c r="O697">
        <f t="shared" si="32"/>
        <v>-751.87</v>
      </c>
    </row>
    <row r="698" spans="1:15" x14ac:dyDescent="0.2">
      <c r="A698" t="s">
        <v>66</v>
      </c>
      <c r="B698">
        <v>60564</v>
      </c>
      <c r="C698" t="s">
        <v>24</v>
      </c>
      <c r="D698" t="s">
        <v>22</v>
      </c>
      <c r="E698" s="3">
        <v>44821</v>
      </c>
      <c r="F698" t="s">
        <v>46</v>
      </c>
      <c r="G698" s="2">
        <v>44890</v>
      </c>
      <c r="H698" t="s">
        <v>67</v>
      </c>
      <c r="I698" s="2">
        <v>45078</v>
      </c>
      <c r="J698">
        <v>752.8</v>
      </c>
      <c r="K698">
        <v>76</v>
      </c>
      <c r="L698" t="s">
        <v>20</v>
      </c>
      <c r="M698">
        <f t="shared" si="30"/>
        <v>0</v>
      </c>
      <c r="N698">
        <f t="shared" si="31"/>
        <v>752.8</v>
      </c>
      <c r="O698">
        <f t="shared" si="32"/>
        <v>-752.8</v>
      </c>
    </row>
    <row r="699" spans="1:15" x14ac:dyDescent="0.2">
      <c r="A699" t="s">
        <v>68</v>
      </c>
      <c r="B699">
        <v>60565</v>
      </c>
      <c r="C699" t="s">
        <v>24</v>
      </c>
      <c r="D699" t="s">
        <v>22</v>
      </c>
      <c r="E699" s="3">
        <v>44722</v>
      </c>
      <c r="F699" t="s">
        <v>33</v>
      </c>
      <c r="G699" s="2">
        <v>44871</v>
      </c>
      <c r="H699" t="s">
        <v>69</v>
      </c>
      <c r="I699" s="2">
        <v>45078</v>
      </c>
      <c r="J699">
        <v>512.41999999999996</v>
      </c>
      <c r="K699">
        <v>76</v>
      </c>
      <c r="L699" t="s">
        <v>20</v>
      </c>
      <c r="M699">
        <f t="shared" si="30"/>
        <v>0</v>
      </c>
      <c r="N699">
        <f t="shared" si="31"/>
        <v>512.41999999999996</v>
      </c>
      <c r="O699">
        <f t="shared" si="32"/>
        <v>-512.41999999999996</v>
      </c>
    </row>
    <row r="700" spans="1:15" x14ac:dyDescent="0.2">
      <c r="A700" t="s">
        <v>70</v>
      </c>
      <c r="B700">
        <v>60540</v>
      </c>
      <c r="C700" t="s">
        <v>24</v>
      </c>
      <c r="D700" t="s">
        <v>22</v>
      </c>
      <c r="E700" s="3">
        <v>44888</v>
      </c>
      <c r="F700" t="s">
        <v>46</v>
      </c>
      <c r="G700" s="2">
        <v>45022</v>
      </c>
      <c r="H700" t="s">
        <v>71</v>
      </c>
      <c r="I700" s="2">
        <v>45078</v>
      </c>
      <c r="J700">
        <v>718.96</v>
      </c>
      <c r="K700">
        <v>76</v>
      </c>
      <c r="L700" t="s">
        <v>20</v>
      </c>
      <c r="M700">
        <f t="shared" si="30"/>
        <v>0</v>
      </c>
      <c r="N700">
        <f t="shared" si="31"/>
        <v>718.96</v>
      </c>
      <c r="O700">
        <f t="shared" si="32"/>
        <v>-718.96</v>
      </c>
    </row>
    <row r="701" spans="1:15" x14ac:dyDescent="0.2">
      <c r="A701" t="s">
        <v>72</v>
      </c>
      <c r="B701">
        <v>60564</v>
      </c>
      <c r="C701" t="s">
        <v>24</v>
      </c>
      <c r="D701" t="s">
        <v>22</v>
      </c>
      <c r="E701" s="3">
        <v>44735</v>
      </c>
      <c r="F701" t="s">
        <v>36</v>
      </c>
      <c r="G701" s="2">
        <v>44876</v>
      </c>
      <c r="H701" t="s">
        <v>73</v>
      </c>
      <c r="I701" s="2">
        <v>45078</v>
      </c>
      <c r="J701">
        <v>674.21</v>
      </c>
      <c r="K701">
        <v>76</v>
      </c>
      <c r="L701" t="s">
        <v>20</v>
      </c>
      <c r="M701">
        <f t="shared" si="30"/>
        <v>0</v>
      </c>
      <c r="N701">
        <f t="shared" si="31"/>
        <v>674.21</v>
      </c>
      <c r="O701">
        <f t="shared" si="32"/>
        <v>-674.21</v>
      </c>
    </row>
    <row r="702" spans="1:15" x14ac:dyDescent="0.2">
      <c r="A702" t="s">
        <v>74</v>
      </c>
      <c r="B702">
        <v>60564</v>
      </c>
      <c r="C702" t="s">
        <v>24</v>
      </c>
      <c r="D702" t="s">
        <v>22</v>
      </c>
      <c r="E702" s="3">
        <v>44612</v>
      </c>
      <c r="F702" t="s">
        <v>36</v>
      </c>
      <c r="G702" s="2">
        <v>44890</v>
      </c>
      <c r="H702" t="s">
        <v>75</v>
      </c>
      <c r="I702" s="2">
        <v>45078</v>
      </c>
      <c r="J702">
        <v>621.54999999999995</v>
      </c>
      <c r="K702">
        <v>76</v>
      </c>
      <c r="L702" t="s">
        <v>20</v>
      </c>
      <c r="M702">
        <f t="shared" si="30"/>
        <v>0</v>
      </c>
      <c r="N702">
        <f t="shared" si="31"/>
        <v>621.54999999999995</v>
      </c>
      <c r="O702">
        <f t="shared" si="32"/>
        <v>-621.54999999999995</v>
      </c>
    </row>
    <row r="703" spans="1:15" x14ac:dyDescent="0.2">
      <c r="A703" t="s">
        <v>76</v>
      </c>
      <c r="B703">
        <v>60565</v>
      </c>
      <c r="C703" t="s">
        <v>24</v>
      </c>
      <c r="D703" t="s">
        <v>22</v>
      </c>
      <c r="E703" s="3">
        <v>44714</v>
      </c>
      <c r="F703" t="s">
        <v>33</v>
      </c>
      <c r="G703" s="2">
        <v>44860</v>
      </c>
      <c r="H703" t="s">
        <v>77</v>
      </c>
      <c r="I703" s="2">
        <v>45078</v>
      </c>
      <c r="J703">
        <v>684.6</v>
      </c>
      <c r="K703">
        <v>76</v>
      </c>
      <c r="L703" t="s">
        <v>20</v>
      </c>
      <c r="M703">
        <f t="shared" si="30"/>
        <v>0</v>
      </c>
      <c r="N703">
        <f t="shared" si="31"/>
        <v>684.6</v>
      </c>
      <c r="O703">
        <f t="shared" si="32"/>
        <v>-684.6</v>
      </c>
    </row>
    <row r="704" spans="1:15" x14ac:dyDescent="0.2">
      <c r="A704" t="s">
        <v>64</v>
      </c>
      <c r="B704">
        <v>60564</v>
      </c>
      <c r="C704" t="s">
        <v>24</v>
      </c>
      <c r="D704" t="s">
        <v>22</v>
      </c>
      <c r="E704" s="3">
        <v>44648</v>
      </c>
      <c r="F704" t="s">
        <v>39</v>
      </c>
      <c r="G704" s="2">
        <v>44797</v>
      </c>
      <c r="H704" t="s">
        <v>65</v>
      </c>
      <c r="I704" s="2">
        <v>45108</v>
      </c>
      <c r="J704">
        <v>660.86</v>
      </c>
      <c r="K704">
        <v>38.9</v>
      </c>
      <c r="L704" t="s">
        <v>19</v>
      </c>
      <c r="M704">
        <f t="shared" si="30"/>
        <v>0</v>
      </c>
      <c r="N704">
        <f t="shared" si="31"/>
        <v>660.86</v>
      </c>
      <c r="O704">
        <f t="shared" si="32"/>
        <v>-660.86</v>
      </c>
    </row>
    <row r="705" spans="1:15" x14ac:dyDescent="0.2">
      <c r="A705" t="s">
        <v>66</v>
      </c>
      <c r="B705">
        <v>60564</v>
      </c>
      <c r="C705" t="s">
        <v>24</v>
      </c>
      <c r="D705" t="s">
        <v>22</v>
      </c>
      <c r="E705" s="3">
        <v>44821</v>
      </c>
      <c r="F705" t="s">
        <v>46</v>
      </c>
      <c r="G705" s="2">
        <v>44890</v>
      </c>
      <c r="H705" t="s">
        <v>67</v>
      </c>
      <c r="I705" s="2">
        <v>45108</v>
      </c>
      <c r="J705">
        <v>663.22</v>
      </c>
      <c r="K705">
        <v>38.9</v>
      </c>
      <c r="L705" t="s">
        <v>19</v>
      </c>
      <c r="M705">
        <f t="shared" si="30"/>
        <v>0</v>
      </c>
      <c r="N705">
        <f t="shared" si="31"/>
        <v>663.22</v>
      </c>
      <c r="O705">
        <f t="shared" si="32"/>
        <v>-663.22</v>
      </c>
    </row>
    <row r="706" spans="1:15" x14ac:dyDescent="0.2">
      <c r="A706" t="s">
        <v>68</v>
      </c>
      <c r="B706">
        <v>60565</v>
      </c>
      <c r="C706" t="s">
        <v>24</v>
      </c>
      <c r="D706" t="s">
        <v>22</v>
      </c>
      <c r="E706" s="3">
        <v>44722</v>
      </c>
      <c r="F706" t="s">
        <v>33</v>
      </c>
      <c r="G706" s="2">
        <v>44871</v>
      </c>
      <c r="H706" t="s">
        <v>69</v>
      </c>
      <c r="I706" s="2">
        <v>45108</v>
      </c>
      <c r="J706">
        <v>642.58000000000004</v>
      </c>
      <c r="K706">
        <v>38.9</v>
      </c>
      <c r="L706" t="s">
        <v>19</v>
      </c>
      <c r="M706">
        <f t="shared" ref="M706:M769" si="33">SUMIFS(J706,I706, "&lt;" &amp;G706,I706,"&lt;&gt;",G706,"&lt;&gt;")</f>
        <v>0</v>
      </c>
      <c r="N706">
        <f t="shared" ref="N706:N769" si="34">SUMIFS(J706,I706, "&gt;=" &amp;G706,I706,"&lt;&gt;",G706,"&lt;&gt;")</f>
        <v>642.58000000000004</v>
      </c>
      <c r="O706">
        <f t="shared" ref="O706:O769" si="35">SUM(M706-N706)</f>
        <v>-642.58000000000004</v>
      </c>
    </row>
    <row r="707" spans="1:15" x14ac:dyDescent="0.2">
      <c r="A707" t="s">
        <v>70</v>
      </c>
      <c r="B707">
        <v>60540</v>
      </c>
      <c r="C707" t="s">
        <v>24</v>
      </c>
      <c r="D707" t="s">
        <v>22</v>
      </c>
      <c r="E707" s="3">
        <v>44888</v>
      </c>
      <c r="F707" t="s">
        <v>46</v>
      </c>
      <c r="G707" s="2">
        <v>45022</v>
      </c>
      <c r="H707" t="s">
        <v>71</v>
      </c>
      <c r="I707" s="2">
        <v>45108</v>
      </c>
      <c r="J707">
        <v>839.96</v>
      </c>
      <c r="K707">
        <v>38.9</v>
      </c>
      <c r="L707" t="s">
        <v>19</v>
      </c>
      <c r="M707">
        <f t="shared" si="33"/>
        <v>0</v>
      </c>
      <c r="N707">
        <f t="shared" si="34"/>
        <v>839.96</v>
      </c>
      <c r="O707">
        <f t="shared" si="35"/>
        <v>-839.96</v>
      </c>
    </row>
    <row r="708" spans="1:15" x14ac:dyDescent="0.2">
      <c r="A708" t="s">
        <v>72</v>
      </c>
      <c r="B708">
        <v>60564</v>
      </c>
      <c r="C708" t="s">
        <v>24</v>
      </c>
      <c r="D708" t="s">
        <v>22</v>
      </c>
      <c r="E708" s="3">
        <v>44735</v>
      </c>
      <c r="F708" t="s">
        <v>36</v>
      </c>
      <c r="G708" s="2">
        <v>44876</v>
      </c>
      <c r="H708" t="s">
        <v>73</v>
      </c>
      <c r="I708" s="2">
        <v>45108</v>
      </c>
      <c r="J708">
        <v>352.18</v>
      </c>
      <c r="K708">
        <v>38.9</v>
      </c>
      <c r="L708" t="s">
        <v>19</v>
      </c>
      <c r="M708">
        <f t="shared" si="33"/>
        <v>0</v>
      </c>
      <c r="N708">
        <f t="shared" si="34"/>
        <v>352.18</v>
      </c>
      <c r="O708">
        <f t="shared" si="35"/>
        <v>-352.18</v>
      </c>
    </row>
    <row r="709" spans="1:15" x14ac:dyDescent="0.2">
      <c r="A709" t="s">
        <v>74</v>
      </c>
      <c r="B709">
        <v>60564</v>
      </c>
      <c r="C709" t="s">
        <v>24</v>
      </c>
      <c r="D709" t="s">
        <v>22</v>
      </c>
      <c r="E709" s="3">
        <v>44612</v>
      </c>
      <c r="F709" t="s">
        <v>36</v>
      </c>
      <c r="G709" s="2">
        <v>44890</v>
      </c>
      <c r="H709" t="s">
        <v>75</v>
      </c>
      <c r="I709" s="2">
        <v>45108</v>
      </c>
      <c r="J709">
        <v>747.18</v>
      </c>
      <c r="K709">
        <v>38.9</v>
      </c>
      <c r="L709" t="s">
        <v>19</v>
      </c>
      <c r="M709">
        <f t="shared" si="33"/>
        <v>0</v>
      </c>
      <c r="N709">
        <f t="shared" si="34"/>
        <v>747.18</v>
      </c>
      <c r="O709">
        <f t="shared" si="35"/>
        <v>-747.18</v>
      </c>
    </row>
    <row r="710" spans="1:15" x14ac:dyDescent="0.2">
      <c r="A710" t="s">
        <v>76</v>
      </c>
      <c r="B710">
        <v>60565</v>
      </c>
      <c r="C710" t="s">
        <v>24</v>
      </c>
      <c r="D710" t="s">
        <v>22</v>
      </c>
      <c r="E710" s="3">
        <v>44714</v>
      </c>
      <c r="F710" t="s">
        <v>33</v>
      </c>
      <c r="G710" s="2">
        <v>44860</v>
      </c>
      <c r="H710" t="s">
        <v>77</v>
      </c>
      <c r="I710" s="2">
        <v>45108</v>
      </c>
      <c r="J710">
        <v>835.69</v>
      </c>
      <c r="K710">
        <v>38.9</v>
      </c>
      <c r="L710" t="s">
        <v>19</v>
      </c>
      <c r="M710">
        <f t="shared" si="33"/>
        <v>0</v>
      </c>
      <c r="N710">
        <f t="shared" si="34"/>
        <v>835.69</v>
      </c>
      <c r="O710">
        <f t="shared" si="35"/>
        <v>-835.69</v>
      </c>
    </row>
    <row r="711" spans="1:15" x14ac:dyDescent="0.2">
      <c r="A711" t="s">
        <v>64</v>
      </c>
      <c r="B711">
        <v>60564</v>
      </c>
      <c r="C711" t="s">
        <v>24</v>
      </c>
      <c r="D711" t="s">
        <v>22</v>
      </c>
      <c r="E711" s="3">
        <v>44648</v>
      </c>
      <c r="F711" t="s">
        <v>39</v>
      </c>
      <c r="G711" s="2">
        <v>44797</v>
      </c>
      <c r="H711" t="s">
        <v>65</v>
      </c>
      <c r="I711" s="2">
        <v>45139</v>
      </c>
      <c r="J711">
        <v>743.8</v>
      </c>
      <c r="K711">
        <v>80</v>
      </c>
      <c r="L711" t="s">
        <v>20</v>
      </c>
      <c r="M711">
        <f t="shared" si="33"/>
        <v>0</v>
      </c>
      <c r="N711">
        <f t="shared" si="34"/>
        <v>743.8</v>
      </c>
      <c r="O711">
        <f t="shared" si="35"/>
        <v>-743.8</v>
      </c>
    </row>
    <row r="712" spans="1:15" x14ac:dyDescent="0.2">
      <c r="A712" t="s">
        <v>66</v>
      </c>
      <c r="B712">
        <v>60564</v>
      </c>
      <c r="C712" t="s">
        <v>24</v>
      </c>
      <c r="D712" t="s">
        <v>22</v>
      </c>
      <c r="E712" s="3">
        <v>44821</v>
      </c>
      <c r="F712" t="s">
        <v>46</v>
      </c>
      <c r="G712" s="2">
        <v>44890</v>
      </c>
      <c r="H712" t="s">
        <v>67</v>
      </c>
      <c r="I712" s="2">
        <v>45139</v>
      </c>
      <c r="J712">
        <v>645.23</v>
      </c>
      <c r="K712">
        <v>80</v>
      </c>
      <c r="L712" t="s">
        <v>20</v>
      </c>
      <c r="M712">
        <f t="shared" si="33"/>
        <v>0</v>
      </c>
      <c r="N712">
        <f t="shared" si="34"/>
        <v>645.23</v>
      </c>
      <c r="O712">
        <f t="shared" si="35"/>
        <v>-645.23</v>
      </c>
    </row>
    <row r="713" spans="1:15" x14ac:dyDescent="0.2">
      <c r="A713" t="s">
        <v>68</v>
      </c>
      <c r="B713">
        <v>60565</v>
      </c>
      <c r="C713" t="s">
        <v>24</v>
      </c>
      <c r="D713" t="s">
        <v>22</v>
      </c>
      <c r="E713" s="3">
        <v>44722</v>
      </c>
      <c r="F713" t="s">
        <v>33</v>
      </c>
      <c r="G713" s="2">
        <v>44871</v>
      </c>
      <c r="H713" t="s">
        <v>69</v>
      </c>
      <c r="I713" s="2">
        <v>45139</v>
      </c>
      <c r="J713">
        <v>550.79999999999995</v>
      </c>
      <c r="K713">
        <v>80</v>
      </c>
      <c r="L713" t="s">
        <v>20</v>
      </c>
      <c r="M713">
        <f t="shared" si="33"/>
        <v>0</v>
      </c>
      <c r="N713">
        <f t="shared" si="34"/>
        <v>550.79999999999995</v>
      </c>
      <c r="O713">
        <f t="shared" si="35"/>
        <v>-550.79999999999995</v>
      </c>
    </row>
    <row r="714" spans="1:15" x14ac:dyDescent="0.2">
      <c r="A714" t="s">
        <v>70</v>
      </c>
      <c r="B714">
        <v>60540</v>
      </c>
      <c r="C714" t="s">
        <v>24</v>
      </c>
      <c r="D714" t="s">
        <v>22</v>
      </c>
      <c r="E714" s="3">
        <v>44888</v>
      </c>
      <c r="F714" t="s">
        <v>46</v>
      </c>
      <c r="G714" s="2">
        <v>45022</v>
      </c>
      <c r="H714" t="s">
        <v>71</v>
      </c>
      <c r="I714" s="2">
        <v>45139</v>
      </c>
      <c r="J714">
        <v>655.26</v>
      </c>
      <c r="K714">
        <v>80</v>
      </c>
      <c r="L714" t="s">
        <v>20</v>
      </c>
      <c r="M714">
        <f t="shared" si="33"/>
        <v>0</v>
      </c>
      <c r="N714">
        <f t="shared" si="34"/>
        <v>655.26</v>
      </c>
      <c r="O714">
        <f t="shared" si="35"/>
        <v>-655.26</v>
      </c>
    </row>
    <row r="715" spans="1:15" x14ac:dyDescent="0.2">
      <c r="A715" t="s">
        <v>72</v>
      </c>
      <c r="B715">
        <v>60564</v>
      </c>
      <c r="C715" t="s">
        <v>24</v>
      </c>
      <c r="D715" t="s">
        <v>22</v>
      </c>
      <c r="E715" s="3">
        <v>44735</v>
      </c>
      <c r="F715" t="s">
        <v>36</v>
      </c>
      <c r="G715" s="2">
        <v>44876</v>
      </c>
      <c r="H715" t="s">
        <v>73</v>
      </c>
      <c r="I715" s="2">
        <v>45139</v>
      </c>
      <c r="J715">
        <v>673.17</v>
      </c>
      <c r="K715">
        <v>80</v>
      </c>
      <c r="L715" t="s">
        <v>20</v>
      </c>
      <c r="M715">
        <f t="shared" si="33"/>
        <v>0</v>
      </c>
      <c r="N715">
        <f t="shared" si="34"/>
        <v>673.17</v>
      </c>
      <c r="O715">
        <f t="shared" si="35"/>
        <v>-673.17</v>
      </c>
    </row>
    <row r="716" spans="1:15" x14ac:dyDescent="0.2">
      <c r="A716" t="s">
        <v>74</v>
      </c>
      <c r="B716">
        <v>60564</v>
      </c>
      <c r="C716" t="s">
        <v>24</v>
      </c>
      <c r="D716" t="s">
        <v>22</v>
      </c>
      <c r="E716" s="3">
        <v>44612</v>
      </c>
      <c r="F716" t="s">
        <v>36</v>
      </c>
      <c r="G716" s="2">
        <v>44890</v>
      </c>
      <c r="H716" t="s">
        <v>75</v>
      </c>
      <c r="I716" s="2">
        <v>45139</v>
      </c>
      <c r="J716">
        <v>765.11</v>
      </c>
      <c r="K716">
        <v>80</v>
      </c>
      <c r="L716" t="s">
        <v>20</v>
      </c>
      <c r="M716">
        <f t="shared" si="33"/>
        <v>0</v>
      </c>
      <c r="N716">
        <f t="shared" si="34"/>
        <v>765.11</v>
      </c>
      <c r="O716">
        <f t="shared" si="35"/>
        <v>-765.11</v>
      </c>
    </row>
    <row r="717" spans="1:15" x14ac:dyDescent="0.2">
      <c r="A717" t="s">
        <v>76</v>
      </c>
      <c r="B717">
        <v>60565</v>
      </c>
      <c r="C717" t="s">
        <v>24</v>
      </c>
      <c r="D717" t="s">
        <v>22</v>
      </c>
      <c r="E717" s="3">
        <v>44714</v>
      </c>
      <c r="F717" t="s">
        <v>33</v>
      </c>
      <c r="G717" s="2">
        <v>44860</v>
      </c>
      <c r="H717" t="s">
        <v>77</v>
      </c>
      <c r="I717" s="2">
        <v>45139</v>
      </c>
      <c r="J717">
        <v>664.06</v>
      </c>
      <c r="K717">
        <v>80</v>
      </c>
      <c r="L717" t="s">
        <v>20</v>
      </c>
      <c r="M717">
        <f t="shared" si="33"/>
        <v>0</v>
      </c>
      <c r="N717">
        <f t="shared" si="34"/>
        <v>664.06</v>
      </c>
      <c r="O717">
        <f t="shared" si="35"/>
        <v>-664.06</v>
      </c>
    </row>
    <row r="718" spans="1:15" x14ac:dyDescent="0.2">
      <c r="A718" t="s">
        <v>64</v>
      </c>
      <c r="B718">
        <v>60564</v>
      </c>
      <c r="C718" t="s">
        <v>24</v>
      </c>
      <c r="D718" t="s">
        <v>22</v>
      </c>
      <c r="E718" s="3">
        <v>44648</v>
      </c>
      <c r="F718" t="s">
        <v>39</v>
      </c>
      <c r="G718" s="2">
        <v>44797</v>
      </c>
      <c r="H718" t="s">
        <v>65</v>
      </c>
      <c r="I718" s="2">
        <v>45170</v>
      </c>
      <c r="J718">
        <v>866.38</v>
      </c>
      <c r="K718">
        <v>84.9</v>
      </c>
      <c r="L718" t="s">
        <v>20</v>
      </c>
      <c r="M718">
        <f t="shared" si="33"/>
        <v>0</v>
      </c>
      <c r="N718">
        <f t="shared" si="34"/>
        <v>866.38</v>
      </c>
      <c r="O718">
        <f t="shared" si="35"/>
        <v>-866.38</v>
      </c>
    </row>
    <row r="719" spans="1:15" x14ac:dyDescent="0.2">
      <c r="A719" t="s">
        <v>66</v>
      </c>
      <c r="B719">
        <v>60564</v>
      </c>
      <c r="C719" t="s">
        <v>24</v>
      </c>
      <c r="D719" t="s">
        <v>22</v>
      </c>
      <c r="E719" s="3">
        <v>44821</v>
      </c>
      <c r="F719" t="s">
        <v>46</v>
      </c>
      <c r="G719" s="2">
        <v>44890</v>
      </c>
      <c r="H719" t="s">
        <v>67</v>
      </c>
      <c r="I719" s="2">
        <v>45170</v>
      </c>
      <c r="J719">
        <v>804.37</v>
      </c>
      <c r="K719">
        <v>84.9</v>
      </c>
      <c r="L719" t="s">
        <v>20</v>
      </c>
      <c r="M719">
        <f t="shared" si="33"/>
        <v>0</v>
      </c>
      <c r="N719">
        <f t="shared" si="34"/>
        <v>804.37</v>
      </c>
      <c r="O719">
        <f t="shared" si="35"/>
        <v>-804.37</v>
      </c>
    </row>
    <row r="720" spans="1:15" x14ac:dyDescent="0.2">
      <c r="A720" t="s">
        <v>68</v>
      </c>
      <c r="B720">
        <v>60565</v>
      </c>
      <c r="C720" t="s">
        <v>24</v>
      </c>
      <c r="D720" t="s">
        <v>22</v>
      </c>
      <c r="E720" s="3">
        <v>44722</v>
      </c>
      <c r="F720" t="s">
        <v>33</v>
      </c>
      <c r="G720" s="2">
        <v>44871</v>
      </c>
      <c r="H720" t="s">
        <v>69</v>
      </c>
      <c r="I720" s="2">
        <v>45170</v>
      </c>
      <c r="J720">
        <v>859.02</v>
      </c>
      <c r="K720">
        <v>84.9</v>
      </c>
      <c r="L720" t="s">
        <v>20</v>
      </c>
      <c r="M720">
        <f t="shared" si="33"/>
        <v>0</v>
      </c>
      <c r="N720">
        <f t="shared" si="34"/>
        <v>859.02</v>
      </c>
      <c r="O720">
        <f t="shared" si="35"/>
        <v>-859.02</v>
      </c>
    </row>
    <row r="721" spans="1:15" x14ac:dyDescent="0.2">
      <c r="A721" t="s">
        <v>70</v>
      </c>
      <c r="B721">
        <v>60540</v>
      </c>
      <c r="C721" t="s">
        <v>24</v>
      </c>
      <c r="D721" t="s">
        <v>22</v>
      </c>
      <c r="E721" s="3">
        <v>44888</v>
      </c>
      <c r="F721" t="s">
        <v>46</v>
      </c>
      <c r="G721" s="2">
        <v>45022</v>
      </c>
      <c r="H721" t="s">
        <v>71</v>
      </c>
      <c r="I721" s="2">
        <v>45170</v>
      </c>
      <c r="J721">
        <v>734.06</v>
      </c>
      <c r="K721">
        <v>84.9</v>
      </c>
      <c r="L721" t="s">
        <v>20</v>
      </c>
      <c r="M721">
        <f t="shared" si="33"/>
        <v>0</v>
      </c>
      <c r="N721">
        <f t="shared" si="34"/>
        <v>734.06</v>
      </c>
      <c r="O721">
        <f t="shared" si="35"/>
        <v>-734.06</v>
      </c>
    </row>
    <row r="722" spans="1:15" x14ac:dyDescent="0.2">
      <c r="A722" t="s">
        <v>72</v>
      </c>
      <c r="B722">
        <v>60564</v>
      </c>
      <c r="C722" t="s">
        <v>24</v>
      </c>
      <c r="D722" t="s">
        <v>22</v>
      </c>
      <c r="E722" s="3">
        <v>44735</v>
      </c>
      <c r="F722" t="s">
        <v>36</v>
      </c>
      <c r="G722" s="2">
        <v>44876</v>
      </c>
      <c r="H722" t="s">
        <v>73</v>
      </c>
      <c r="I722" s="2">
        <v>45170</v>
      </c>
      <c r="J722">
        <v>648.21</v>
      </c>
      <c r="K722">
        <v>84.9</v>
      </c>
      <c r="L722" t="s">
        <v>20</v>
      </c>
      <c r="M722">
        <f t="shared" si="33"/>
        <v>0</v>
      </c>
      <c r="N722">
        <f t="shared" si="34"/>
        <v>648.21</v>
      </c>
      <c r="O722">
        <f t="shared" si="35"/>
        <v>-648.21</v>
      </c>
    </row>
    <row r="723" spans="1:15" x14ac:dyDescent="0.2">
      <c r="A723" t="s">
        <v>74</v>
      </c>
      <c r="B723">
        <v>60564</v>
      </c>
      <c r="C723" t="s">
        <v>24</v>
      </c>
      <c r="D723" t="s">
        <v>22</v>
      </c>
      <c r="E723" s="3">
        <v>44612</v>
      </c>
      <c r="F723" t="s">
        <v>36</v>
      </c>
      <c r="G723" s="2">
        <v>44890</v>
      </c>
      <c r="H723" t="s">
        <v>75</v>
      </c>
      <c r="I723" s="2">
        <v>45170</v>
      </c>
      <c r="J723">
        <v>583.02</v>
      </c>
      <c r="K723">
        <v>84.9</v>
      </c>
      <c r="L723" t="s">
        <v>20</v>
      </c>
      <c r="M723">
        <f t="shared" si="33"/>
        <v>0</v>
      </c>
      <c r="N723">
        <f t="shared" si="34"/>
        <v>583.02</v>
      </c>
      <c r="O723">
        <f t="shared" si="35"/>
        <v>-583.02</v>
      </c>
    </row>
    <row r="724" spans="1:15" x14ac:dyDescent="0.2">
      <c r="A724" t="s">
        <v>76</v>
      </c>
      <c r="B724">
        <v>60565</v>
      </c>
      <c r="C724" t="s">
        <v>24</v>
      </c>
      <c r="D724" t="s">
        <v>22</v>
      </c>
      <c r="E724" s="3">
        <v>44714</v>
      </c>
      <c r="F724" t="s">
        <v>33</v>
      </c>
      <c r="G724" s="2">
        <v>44860</v>
      </c>
      <c r="H724" t="s">
        <v>77</v>
      </c>
      <c r="I724" s="2">
        <v>45170</v>
      </c>
      <c r="J724">
        <v>835.66</v>
      </c>
      <c r="K724">
        <v>84.9</v>
      </c>
      <c r="L724" t="s">
        <v>20</v>
      </c>
      <c r="M724">
        <f t="shared" si="33"/>
        <v>0</v>
      </c>
      <c r="N724">
        <f t="shared" si="34"/>
        <v>835.66</v>
      </c>
      <c r="O724">
        <f t="shared" si="35"/>
        <v>-835.66</v>
      </c>
    </row>
    <row r="725" spans="1:15" x14ac:dyDescent="0.2">
      <c r="A725" t="s">
        <v>64</v>
      </c>
      <c r="B725">
        <v>60564</v>
      </c>
      <c r="C725" t="s">
        <v>24</v>
      </c>
      <c r="D725" t="s">
        <v>22</v>
      </c>
      <c r="E725" s="3">
        <v>44648</v>
      </c>
      <c r="F725" t="s">
        <v>39</v>
      </c>
      <c r="G725" s="2">
        <v>44797</v>
      </c>
      <c r="H725" t="s">
        <v>65</v>
      </c>
      <c r="I725" s="2">
        <v>45200</v>
      </c>
      <c r="J725">
        <v>626.08000000000004</v>
      </c>
      <c r="K725">
        <v>80.8</v>
      </c>
      <c r="L725" t="s">
        <v>20</v>
      </c>
      <c r="M725">
        <f t="shared" si="33"/>
        <v>0</v>
      </c>
      <c r="N725">
        <f t="shared" si="34"/>
        <v>626.08000000000004</v>
      </c>
      <c r="O725">
        <f t="shared" si="35"/>
        <v>-626.08000000000004</v>
      </c>
    </row>
    <row r="726" spans="1:15" x14ac:dyDescent="0.2">
      <c r="A726" t="s">
        <v>66</v>
      </c>
      <c r="B726">
        <v>60564</v>
      </c>
      <c r="C726" t="s">
        <v>24</v>
      </c>
      <c r="D726" t="s">
        <v>22</v>
      </c>
      <c r="E726" s="3">
        <v>44821</v>
      </c>
      <c r="F726" t="s">
        <v>46</v>
      </c>
      <c r="G726" s="2">
        <v>44890</v>
      </c>
      <c r="H726" t="s">
        <v>67</v>
      </c>
      <c r="I726" s="2">
        <v>45200</v>
      </c>
      <c r="J726">
        <v>722.9</v>
      </c>
      <c r="K726">
        <v>80.8</v>
      </c>
      <c r="L726" t="s">
        <v>20</v>
      </c>
      <c r="M726">
        <f t="shared" si="33"/>
        <v>0</v>
      </c>
      <c r="N726">
        <f t="shared" si="34"/>
        <v>722.9</v>
      </c>
      <c r="O726">
        <f t="shared" si="35"/>
        <v>-722.9</v>
      </c>
    </row>
    <row r="727" spans="1:15" x14ac:dyDescent="0.2">
      <c r="A727" t="s">
        <v>68</v>
      </c>
      <c r="B727">
        <v>60565</v>
      </c>
      <c r="C727" t="s">
        <v>24</v>
      </c>
      <c r="D727" t="s">
        <v>22</v>
      </c>
      <c r="E727" s="3">
        <v>44722</v>
      </c>
      <c r="F727" t="s">
        <v>33</v>
      </c>
      <c r="G727" s="2">
        <v>44871</v>
      </c>
      <c r="H727" t="s">
        <v>69</v>
      </c>
      <c r="I727" s="2">
        <v>45200</v>
      </c>
      <c r="J727">
        <v>747.16</v>
      </c>
      <c r="K727">
        <v>80.8</v>
      </c>
      <c r="L727" t="s">
        <v>20</v>
      </c>
      <c r="M727">
        <f t="shared" si="33"/>
        <v>0</v>
      </c>
      <c r="N727">
        <f t="shared" si="34"/>
        <v>747.16</v>
      </c>
      <c r="O727">
        <f t="shared" si="35"/>
        <v>-747.16</v>
      </c>
    </row>
    <row r="728" spans="1:15" x14ac:dyDescent="0.2">
      <c r="A728" t="s">
        <v>70</v>
      </c>
      <c r="B728">
        <v>60540</v>
      </c>
      <c r="C728" t="s">
        <v>24</v>
      </c>
      <c r="D728" t="s">
        <v>22</v>
      </c>
      <c r="E728" s="3">
        <v>44888</v>
      </c>
      <c r="F728" t="s">
        <v>46</v>
      </c>
      <c r="G728" s="2">
        <v>45022</v>
      </c>
      <c r="H728" t="s">
        <v>71</v>
      </c>
      <c r="I728" s="2">
        <v>45200</v>
      </c>
      <c r="J728">
        <v>698.62</v>
      </c>
      <c r="K728">
        <v>80.8</v>
      </c>
      <c r="L728" t="s">
        <v>20</v>
      </c>
      <c r="M728">
        <f t="shared" si="33"/>
        <v>0</v>
      </c>
      <c r="N728">
        <f t="shared" si="34"/>
        <v>698.62</v>
      </c>
      <c r="O728">
        <f t="shared" si="35"/>
        <v>-698.62</v>
      </c>
    </row>
    <row r="729" spans="1:15" x14ac:dyDescent="0.2">
      <c r="A729" t="s">
        <v>72</v>
      </c>
      <c r="B729">
        <v>60564</v>
      </c>
      <c r="C729" t="s">
        <v>24</v>
      </c>
      <c r="D729" t="s">
        <v>22</v>
      </c>
      <c r="E729" s="3">
        <v>44735</v>
      </c>
      <c r="F729" t="s">
        <v>36</v>
      </c>
      <c r="G729" s="2">
        <v>44876</v>
      </c>
      <c r="H729" t="s">
        <v>73</v>
      </c>
      <c r="I729" s="2">
        <v>45200</v>
      </c>
      <c r="J729">
        <v>789.28</v>
      </c>
      <c r="K729">
        <v>80.8</v>
      </c>
      <c r="L729" t="s">
        <v>20</v>
      </c>
      <c r="M729">
        <f t="shared" si="33"/>
        <v>0</v>
      </c>
      <c r="N729">
        <f t="shared" si="34"/>
        <v>789.28</v>
      </c>
      <c r="O729">
        <f t="shared" si="35"/>
        <v>-789.28</v>
      </c>
    </row>
    <row r="730" spans="1:15" x14ac:dyDescent="0.2">
      <c r="A730" t="s">
        <v>74</v>
      </c>
      <c r="B730">
        <v>60564</v>
      </c>
      <c r="C730" t="s">
        <v>24</v>
      </c>
      <c r="D730" t="s">
        <v>22</v>
      </c>
      <c r="E730" s="3">
        <v>44612</v>
      </c>
      <c r="F730" t="s">
        <v>36</v>
      </c>
      <c r="G730" s="2">
        <v>44890</v>
      </c>
      <c r="H730" t="s">
        <v>75</v>
      </c>
      <c r="I730" s="2">
        <v>45200</v>
      </c>
      <c r="J730">
        <v>534.09</v>
      </c>
      <c r="K730">
        <v>80.8</v>
      </c>
      <c r="L730" t="s">
        <v>20</v>
      </c>
      <c r="M730">
        <f t="shared" si="33"/>
        <v>0</v>
      </c>
      <c r="N730">
        <f t="shared" si="34"/>
        <v>534.09</v>
      </c>
      <c r="O730">
        <f t="shared" si="35"/>
        <v>-534.09</v>
      </c>
    </row>
    <row r="731" spans="1:15" x14ac:dyDescent="0.2">
      <c r="A731" t="s">
        <v>76</v>
      </c>
      <c r="B731">
        <v>60565</v>
      </c>
      <c r="C731" t="s">
        <v>24</v>
      </c>
      <c r="D731" t="s">
        <v>22</v>
      </c>
      <c r="E731" s="3">
        <v>44714</v>
      </c>
      <c r="F731" t="s">
        <v>33</v>
      </c>
      <c r="G731" s="2">
        <v>44860</v>
      </c>
      <c r="H731" t="s">
        <v>77</v>
      </c>
      <c r="I731" s="2">
        <v>45200</v>
      </c>
      <c r="J731">
        <v>428.75</v>
      </c>
      <c r="K731">
        <v>80.8</v>
      </c>
      <c r="L731" t="s">
        <v>20</v>
      </c>
      <c r="M731">
        <f t="shared" si="33"/>
        <v>0</v>
      </c>
      <c r="N731">
        <f t="shared" si="34"/>
        <v>428.75</v>
      </c>
      <c r="O731">
        <f t="shared" si="35"/>
        <v>-428.75</v>
      </c>
    </row>
    <row r="732" spans="1:15" x14ac:dyDescent="0.2">
      <c r="A732" t="s">
        <v>64</v>
      </c>
      <c r="B732">
        <v>60564</v>
      </c>
      <c r="C732" t="s">
        <v>24</v>
      </c>
      <c r="D732" t="s">
        <v>22</v>
      </c>
      <c r="E732" s="3">
        <v>44648</v>
      </c>
      <c r="F732" t="s">
        <v>39</v>
      </c>
      <c r="G732" s="2">
        <v>44797</v>
      </c>
      <c r="H732" t="s">
        <v>65</v>
      </c>
      <c r="I732" s="2">
        <v>45231</v>
      </c>
      <c r="J732">
        <v>689.28</v>
      </c>
      <c r="K732">
        <v>46.5</v>
      </c>
      <c r="L732" t="s">
        <v>16</v>
      </c>
      <c r="M732">
        <f t="shared" si="33"/>
        <v>0</v>
      </c>
      <c r="N732">
        <f t="shared" si="34"/>
        <v>689.28</v>
      </c>
      <c r="O732">
        <f t="shared" si="35"/>
        <v>-689.28</v>
      </c>
    </row>
    <row r="733" spans="1:15" x14ac:dyDescent="0.2">
      <c r="A733" t="s">
        <v>66</v>
      </c>
      <c r="B733">
        <v>60564</v>
      </c>
      <c r="C733" t="s">
        <v>24</v>
      </c>
      <c r="D733" t="s">
        <v>22</v>
      </c>
      <c r="E733" s="3">
        <v>44821</v>
      </c>
      <c r="F733" t="s">
        <v>46</v>
      </c>
      <c r="G733" s="2">
        <v>44890</v>
      </c>
      <c r="H733" t="s">
        <v>67</v>
      </c>
      <c r="I733" s="2">
        <v>45231</v>
      </c>
      <c r="J733">
        <v>546.59</v>
      </c>
      <c r="K733">
        <v>46.5</v>
      </c>
      <c r="L733" t="s">
        <v>16</v>
      </c>
      <c r="M733">
        <f t="shared" si="33"/>
        <v>0</v>
      </c>
      <c r="N733">
        <f t="shared" si="34"/>
        <v>546.59</v>
      </c>
      <c r="O733">
        <f t="shared" si="35"/>
        <v>-546.59</v>
      </c>
    </row>
    <row r="734" spans="1:15" x14ac:dyDescent="0.2">
      <c r="A734" t="s">
        <v>68</v>
      </c>
      <c r="B734">
        <v>60565</v>
      </c>
      <c r="C734" t="s">
        <v>24</v>
      </c>
      <c r="D734" t="s">
        <v>22</v>
      </c>
      <c r="E734" s="3">
        <v>44722</v>
      </c>
      <c r="F734" t="s">
        <v>33</v>
      </c>
      <c r="G734" s="2">
        <v>44871</v>
      </c>
      <c r="H734" t="s">
        <v>69</v>
      </c>
      <c r="I734" s="2">
        <v>45231</v>
      </c>
      <c r="J734">
        <v>764.76</v>
      </c>
      <c r="K734">
        <v>46.5</v>
      </c>
      <c r="L734" t="s">
        <v>16</v>
      </c>
      <c r="M734">
        <f t="shared" si="33"/>
        <v>0</v>
      </c>
      <c r="N734">
        <f t="shared" si="34"/>
        <v>764.76</v>
      </c>
      <c r="O734">
        <f t="shared" si="35"/>
        <v>-764.76</v>
      </c>
    </row>
    <row r="735" spans="1:15" x14ac:dyDescent="0.2">
      <c r="A735" t="s">
        <v>70</v>
      </c>
      <c r="B735">
        <v>60540</v>
      </c>
      <c r="C735" t="s">
        <v>24</v>
      </c>
      <c r="D735" t="s">
        <v>22</v>
      </c>
      <c r="E735" s="3">
        <v>44888</v>
      </c>
      <c r="F735" t="s">
        <v>46</v>
      </c>
      <c r="G735" s="2">
        <v>45022</v>
      </c>
      <c r="H735" t="s">
        <v>71</v>
      </c>
      <c r="I735" s="2">
        <v>45231</v>
      </c>
      <c r="J735">
        <v>837.24</v>
      </c>
      <c r="K735">
        <v>46.5</v>
      </c>
      <c r="L735" t="s">
        <v>16</v>
      </c>
      <c r="M735">
        <f t="shared" si="33"/>
        <v>0</v>
      </c>
      <c r="N735">
        <f t="shared" si="34"/>
        <v>837.24</v>
      </c>
      <c r="O735">
        <f t="shared" si="35"/>
        <v>-837.24</v>
      </c>
    </row>
    <row r="736" spans="1:15" x14ac:dyDescent="0.2">
      <c r="A736" t="s">
        <v>72</v>
      </c>
      <c r="B736">
        <v>60564</v>
      </c>
      <c r="C736" t="s">
        <v>24</v>
      </c>
      <c r="D736" t="s">
        <v>22</v>
      </c>
      <c r="E736" s="3">
        <v>44735</v>
      </c>
      <c r="F736" t="s">
        <v>36</v>
      </c>
      <c r="G736" s="2">
        <v>44876</v>
      </c>
      <c r="H736" t="s">
        <v>73</v>
      </c>
      <c r="I736" s="2">
        <v>45231</v>
      </c>
      <c r="J736">
        <v>643.66999999999996</v>
      </c>
      <c r="K736">
        <v>46.5</v>
      </c>
      <c r="L736" t="s">
        <v>16</v>
      </c>
      <c r="M736">
        <f t="shared" si="33"/>
        <v>0</v>
      </c>
      <c r="N736">
        <f t="shared" si="34"/>
        <v>643.66999999999996</v>
      </c>
      <c r="O736">
        <f t="shared" si="35"/>
        <v>-643.66999999999996</v>
      </c>
    </row>
    <row r="737" spans="1:15" x14ac:dyDescent="0.2">
      <c r="A737" t="s">
        <v>74</v>
      </c>
      <c r="B737">
        <v>60564</v>
      </c>
      <c r="C737" t="s">
        <v>24</v>
      </c>
      <c r="D737" t="s">
        <v>22</v>
      </c>
      <c r="E737" s="3">
        <v>44612</v>
      </c>
      <c r="F737" t="s">
        <v>36</v>
      </c>
      <c r="G737" s="2">
        <v>44890</v>
      </c>
      <c r="H737" t="s">
        <v>75</v>
      </c>
      <c r="I737" s="2">
        <v>45231</v>
      </c>
      <c r="J737">
        <v>729.37</v>
      </c>
      <c r="K737">
        <v>46.5</v>
      </c>
      <c r="L737" t="s">
        <v>16</v>
      </c>
      <c r="M737">
        <f t="shared" si="33"/>
        <v>0</v>
      </c>
      <c r="N737">
        <f t="shared" si="34"/>
        <v>729.37</v>
      </c>
      <c r="O737">
        <f t="shared" si="35"/>
        <v>-729.37</v>
      </c>
    </row>
    <row r="738" spans="1:15" x14ac:dyDescent="0.2">
      <c r="A738" t="s">
        <v>76</v>
      </c>
      <c r="B738">
        <v>60565</v>
      </c>
      <c r="C738" t="s">
        <v>24</v>
      </c>
      <c r="D738" t="s">
        <v>22</v>
      </c>
      <c r="E738" s="3">
        <v>44714</v>
      </c>
      <c r="F738" t="s">
        <v>33</v>
      </c>
      <c r="G738" s="2">
        <v>44860</v>
      </c>
      <c r="H738" t="s">
        <v>77</v>
      </c>
      <c r="I738" s="2">
        <v>45231</v>
      </c>
      <c r="J738">
        <v>834.79</v>
      </c>
      <c r="K738">
        <v>46.5</v>
      </c>
      <c r="L738" t="s">
        <v>16</v>
      </c>
      <c r="M738">
        <f t="shared" si="33"/>
        <v>0</v>
      </c>
      <c r="N738">
        <f t="shared" si="34"/>
        <v>834.79</v>
      </c>
      <c r="O738">
        <f t="shared" si="35"/>
        <v>-834.79</v>
      </c>
    </row>
    <row r="739" spans="1:15" x14ac:dyDescent="0.2">
      <c r="A739" t="s">
        <v>64</v>
      </c>
      <c r="B739">
        <v>60564</v>
      </c>
      <c r="C739" t="s">
        <v>24</v>
      </c>
      <c r="D739" t="s">
        <v>22</v>
      </c>
      <c r="E739" s="3">
        <v>44648</v>
      </c>
      <c r="F739" t="s">
        <v>39</v>
      </c>
      <c r="G739" s="2">
        <v>44797</v>
      </c>
      <c r="H739" t="s">
        <v>65</v>
      </c>
      <c r="I739" s="2">
        <v>45261</v>
      </c>
      <c r="J739">
        <v>651.38</v>
      </c>
      <c r="K739">
        <v>29.2</v>
      </c>
      <c r="L739" t="s">
        <v>19</v>
      </c>
      <c r="M739">
        <f t="shared" si="33"/>
        <v>0</v>
      </c>
      <c r="N739">
        <f t="shared" si="34"/>
        <v>651.38</v>
      </c>
      <c r="O739">
        <f t="shared" si="35"/>
        <v>-651.38</v>
      </c>
    </row>
    <row r="740" spans="1:15" x14ac:dyDescent="0.2">
      <c r="A740" t="s">
        <v>66</v>
      </c>
      <c r="B740">
        <v>60564</v>
      </c>
      <c r="C740" t="s">
        <v>24</v>
      </c>
      <c r="D740" t="s">
        <v>22</v>
      </c>
      <c r="E740" s="3">
        <v>44821</v>
      </c>
      <c r="F740" t="s">
        <v>46</v>
      </c>
      <c r="G740" s="2">
        <v>44890</v>
      </c>
      <c r="H740" t="s">
        <v>67</v>
      </c>
      <c r="I740" s="2">
        <v>45261</v>
      </c>
      <c r="J740">
        <v>736.31</v>
      </c>
      <c r="K740">
        <v>29.2</v>
      </c>
      <c r="L740" t="s">
        <v>19</v>
      </c>
      <c r="M740">
        <f t="shared" si="33"/>
        <v>0</v>
      </c>
      <c r="N740">
        <f t="shared" si="34"/>
        <v>736.31</v>
      </c>
      <c r="O740">
        <f t="shared" si="35"/>
        <v>-736.31</v>
      </c>
    </row>
    <row r="741" spans="1:15" x14ac:dyDescent="0.2">
      <c r="A741" t="s">
        <v>68</v>
      </c>
      <c r="B741">
        <v>60565</v>
      </c>
      <c r="C741" t="s">
        <v>24</v>
      </c>
      <c r="D741" t="s">
        <v>22</v>
      </c>
      <c r="E741" s="3">
        <v>44722</v>
      </c>
      <c r="F741" t="s">
        <v>33</v>
      </c>
      <c r="G741" s="2">
        <v>44871</v>
      </c>
      <c r="H741" t="s">
        <v>69</v>
      </c>
      <c r="I741" s="2">
        <v>45261</v>
      </c>
      <c r="J741">
        <v>753.6</v>
      </c>
      <c r="K741">
        <v>29.2</v>
      </c>
      <c r="L741" t="s">
        <v>19</v>
      </c>
      <c r="M741">
        <f t="shared" si="33"/>
        <v>0</v>
      </c>
      <c r="N741">
        <f t="shared" si="34"/>
        <v>753.6</v>
      </c>
      <c r="O741">
        <f t="shared" si="35"/>
        <v>-753.6</v>
      </c>
    </row>
    <row r="742" spans="1:15" x14ac:dyDescent="0.2">
      <c r="A742" t="s">
        <v>70</v>
      </c>
      <c r="B742">
        <v>60540</v>
      </c>
      <c r="C742" t="s">
        <v>24</v>
      </c>
      <c r="D742" t="s">
        <v>22</v>
      </c>
      <c r="E742" s="3">
        <v>44888</v>
      </c>
      <c r="F742" t="s">
        <v>46</v>
      </c>
      <c r="G742" s="2">
        <v>45022</v>
      </c>
      <c r="H742" t="s">
        <v>71</v>
      </c>
      <c r="I742" s="2">
        <v>45261</v>
      </c>
      <c r="J742">
        <v>632.22</v>
      </c>
      <c r="K742">
        <v>29.2</v>
      </c>
      <c r="L742" t="s">
        <v>19</v>
      </c>
      <c r="M742">
        <f t="shared" si="33"/>
        <v>0</v>
      </c>
      <c r="N742">
        <f t="shared" si="34"/>
        <v>632.22</v>
      </c>
      <c r="O742">
        <f t="shared" si="35"/>
        <v>-632.22</v>
      </c>
    </row>
    <row r="743" spans="1:15" x14ac:dyDescent="0.2">
      <c r="A743" t="s">
        <v>72</v>
      </c>
      <c r="B743">
        <v>60564</v>
      </c>
      <c r="C743" t="s">
        <v>24</v>
      </c>
      <c r="D743" t="s">
        <v>22</v>
      </c>
      <c r="E743" s="3">
        <v>44735</v>
      </c>
      <c r="F743" t="s">
        <v>36</v>
      </c>
      <c r="G743" s="2">
        <v>44876</v>
      </c>
      <c r="H743" t="s">
        <v>73</v>
      </c>
      <c r="I743" s="2">
        <v>45261</v>
      </c>
      <c r="J743">
        <v>953.93</v>
      </c>
      <c r="K743">
        <v>29.2</v>
      </c>
      <c r="L743" t="s">
        <v>19</v>
      </c>
      <c r="M743">
        <f t="shared" si="33"/>
        <v>0</v>
      </c>
      <c r="N743">
        <f t="shared" si="34"/>
        <v>953.93</v>
      </c>
      <c r="O743">
        <f t="shared" si="35"/>
        <v>-953.93</v>
      </c>
    </row>
    <row r="744" spans="1:15" x14ac:dyDescent="0.2">
      <c r="A744" t="s">
        <v>74</v>
      </c>
      <c r="B744">
        <v>60564</v>
      </c>
      <c r="C744" t="s">
        <v>24</v>
      </c>
      <c r="D744" t="s">
        <v>22</v>
      </c>
      <c r="E744" s="3">
        <v>44612</v>
      </c>
      <c r="F744" t="s">
        <v>36</v>
      </c>
      <c r="G744" s="2">
        <v>44890</v>
      </c>
      <c r="H744" t="s">
        <v>75</v>
      </c>
      <c r="I744" s="2">
        <v>45261</v>
      </c>
      <c r="J744">
        <v>651.12</v>
      </c>
      <c r="K744">
        <v>29.2</v>
      </c>
      <c r="L744" t="s">
        <v>19</v>
      </c>
      <c r="M744">
        <f t="shared" si="33"/>
        <v>0</v>
      </c>
      <c r="N744">
        <f t="shared" si="34"/>
        <v>651.12</v>
      </c>
      <c r="O744">
        <f t="shared" si="35"/>
        <v>-651.12</v>
      </c>
    </row>
    <row r="745" spans="1:15" x14ac:dyDescent="0.2">
      <c r="A745" t="s">
        <v>76</v>
      </c>
      <c r="B745">
        <v>60565</v>
      </c>
      <c r="C745" t="s">
        <v>24</v>
      </c>
      <c r="D745" t="s">
        <v>22</v>
      </c>
      <c r="E745" s="3">
        <v>44714</v>
      </c>
      <c r="F745" t="s">
        <v>33</v>
      </c>
      <c r="G745" s="2">
        <v>44860</v>
      </c>
      <c r="H745" t="s">
        <v>77</v>
      </c>
      <c r="I745" s="2">
        <v>45261</v>
      </c>
      <c r="J745">
        <v>829.74</v>
      </c>
      <c r="K745">
        <v>29.2</v>
      </c>
      <c r="L745" t="s">
        <v>19</v>
      </c>
      <c r="M745">
        <f t="shared" si="33"/>
        <v>0</v>
      </c>
      <c r="N745">
        <f t="shared" si="34"/>
        <v>829.74</v>
      </c>
      <c r="O745">
        <f t="shared" si="35"/>
        <v>-829.74</v>
      </c>
    </row>
    <row r="746" spans="1:15" x14ac:dyDescent="0.2">
      <c r="A746" t="s">
        <v>78</v>
      </c>
      <c r="B746">
        <v>60565</v>
      </c>
      <c r="C746" t="s">
        <v>24</v>
      </c>
      <c r="D746" t="s">
        <v>22</v>
      </c>
      <c r="E746" s="3">
        <v>44765</v>
      </c>
      <c r="F746" t="s">
        <v>33</v>
      </c>
      <c r="G746" s="2">
        <v>45070</v>
      </c>
      <c r="H746" t="s">
        <v>79</v>
      </c>
      <c r="I746" s="2">
        <v>44562</v>
      </c>
      <c r="J746">
        <v>967.23</v>
      </c>
      <c r="K746">
        <v>43</v>
      </c>
      <c r="L746" t="s">
        <v>16</v>
      </c>
      <c r="M746">
        <f t="shared" si="33"/>
        <v>967.23</v>
      </c>
      <c r="N746">
        <f t="shared" si="34"/>
        <v>0</v>
      </c>
      <c r="O746">
        <f t="shared" si="35"/>
        <v>967.23</v>
      </c>
    </row>
    <row r="747" spans="1:15" x14ac:dyDescent="0.2">
      <c r="A747" t="s">
        <v>78</v>
      </c>
      <c r="B747">
        <v>60565</v>
      </c>
      <c r="C747" t="s">
        <v>24</v>
      </c>
      <c r="D747" t="s">
        <v>22</v>
      </c>
      <c r="E747" s="3">
        <v>44765</v>
      </c>
      <c r="F747" t="s">
        <v>33</v>
      </c>
      <c r="G747" s="2">
        <v>45070</v>
      </c>
      <c r="H747" t="s">
        <v>79</v>
      </c>
      <c r="I747" s="2">
        <v>44593</v>
      </c>
      <c r="J747">
        <v>892.29</v>
      </c>
      <c r="K747">
        <v>26.4</v>
      </c>
      <c r="L747" t="s">
        <v>19</v>
      </c>
      <c r="M747">
        <f t="shared" si="33"/>
        <v>892.29</v>
      </c>
      <c r="N747">
        <f t="shared" si="34"/>
        <v>0</v>
      </c>
      <c r="O747">
        <f t="shared" si="35"/>
        <v>892.29</v>
      </c>
    </row>
    <row r="748" spans="1:15" x14ac:dyDescent="0.2">
      <c r="A748" t="s">
        <v>78</v>
      </c>
      <c r="B748">
        <v>60565</v>
      </c>
      <c r="C748" t="s">
        <v>24</v>
      </c>
      <c r="D748" t="s">
        <v>22</v>
      </c>
      <c r="E748" s="3">
        <v>44765</v>
      </c>
      <c r="F748" t="s">
        <v>33</v>
      </c>
      <c r="G748" s="2">
        <v>45070</v>
      </c>
      <c r="H748" t="s">
        <v>79</v>
      </c>
      <c r="I748" s="2">
        <v>44621</v>
      </c>
      <c r="J748">
        <v>613.17999999999995</v>
      </c>
      <c r="K748">
        <v>29.5</v>
      </c>
      <c r="L748" t="s">
        <v>19</v>
      </c>
      <c r="M748">
        <f t="shared" si="33"/>
        <v>613.17999999999995</v>
      </c>
      <c r="N748">
        <f t="shared" si="34"/>
        <v>0</v>
      </c>
      <c r="O748">
        <f t="shared" si="35"/>
        <v>613.17999999999995</v>
      </c>
    </row>
    <row r="749" spans="1:15" x14ac:dyDescent="0.2">
      <c r="A749" t="s">
        <v>78</v>
      </c>
      <c r="B749">
        <v>60565</v>
      </c>
      <c r="C749" t="s">
        <v>24</v>
      </c>
      <c r="D749" t="s">
        <v>22</v>
      </c>
      <c r="E749" s="3">
        <v>44765</v>
      </c>
      <c r="F749" t="s">
        <v>33</v>
      </c>
      <c r="G749" s="2">
        <v>45070</v>
      </c>
      <c r="H749" t="s">
        <v>79</v>
      </c>
      <c r="I749" s="2">
        <v>44652</v>
      </c>
      <c r="J749">
        <v>602.59</v>
      </c>
      <c r="K749">
        <v>50.8</v>
      </c>
      <c r="L749" t="s">
        <v>16</v>
      </c>
      <c r="M749">
        <f t="shared" si="33"/>
        <v>602.59</v>
      </c>
      <c r="N749">
        <f t="shared" si="34"/>
        <v>0</v>
      </c>
      <c r="O749">
        <f t="shared" si="35"/>
        <v>602.59</v>
      </c>
    </row>
    <row r="750" spans="1:15" x14ac:dyDescent="0.2">
      <c r="A750" t="s">
        <v>78</v>
      </c>
      <c r="B750">
        <v>60565</v>
      </c>
      <c r="C750" t="s">
        <v>24</v>
      </c>
      <c r="D750" t="s">
        <v>22</v>
      </c>
      <c r="E750" s="3">
        <v>44765</v>
      </c>
      <c r="F750" t="s">
        <v>33</v>
      </c>
      <c r="G750" s="2">
        <v>45070</v>
      </c>
      <c r="H750" t="s">
        <v>79</v>
      </c>
      <c r="I750" s="2">
        <v>44682</v>
      </c>
      <c r="J750">
        <v>904.26</v>
      </c>
      <c r="K750">
        <v>46.3</v>
      </c>
      <c r="L750" t="s">
        <v>16</v>
      </c>
      <c r="M750">
        <f t="shared" si="33"/>
        <v>904.26</v>
      </c>
      <c r="N750">
        <f t="shared" si="34"/>
        <v>0</v>
      </c>
      <c r="O750">
        <f t="shared" si="35"/>
        <v>904.26</v>
      </c>
    </row>
    <row r="751" spans="1:15" x14ac:dyDescent="0.2">
      <c r="A751" t="s">
        <v>78</v>
      </c>
      <c r="B751">
        <v>60565</v>
      </c>
      <c r="C751" t="s">
        <v>24</v>
      </c>
      <c r="D751" t="s">
        <v>22</v>
      </c>
      <c r="E751" s="3">
        <v>44765</v>
      </c>
      <c r="F751" t="s">
        <v>33</v>
      </c>
      <c r="G751" s="2">
        <v>45070</v>
      </c>
      <c r="H751" t="s">
        <v>79</v>
      </c>
      <c r="I751" s="2">
        <v>44713</v>
      </c>
      <c r="J751">
        <v>748.01</v>
      </c>
      <c r="K751">
        <v>61.1</v>
      </c>
      <c r="L751" t="s">
        <v>16</v>
      </c>
      <c r="M751">
        <f t="shared" si="33"/>
        <v>748.01</v>
      </c>
      <c r="N751">
        <f t="shared" si="34"/>
        <v>0</v>
      </c>
      <c r="O751">
        <f t="shared" si="35"/>
        <v>748.01</v>
      </c>
    </row>
    <row r="752" spans="1:15" x14ac:dyDescent="0.2">
      <c r="A752" t="s">
        <v>78</v>
      </c>
      <c r="B752">
        <v>60565</v>
      </c>
      <c r="C752" t="s">
        <v>24</v>
      </c>
      <c r="D752" t="s">
        <v>22</v>
      </c>
      <c r="E752" s="3">
        <v>44765</v>
      </c>
      <c r="F752" t="s">
        <v>33</v>
      </c>
      <c r="G752" s="2">
        <v>45070</v>
      </c>
      <c r="H752" t="s">
        <v>79</v>
      </c>
      <c r="I752" s="2">
        <v>44743</v>
      </c>
      <c r="J752">
        <v>635.09</v>
      </c>
      <c r="K752">
        <v>27.4</v>
      </c>
      <c r="L752" t="s">
        <v>19</v>
      </c>
      <c r="M752">
        <f t="shared" si="33"/>
        <v>635.09</v>
      </c>
      <c r="N752">
        <f t="shared" si="34"/>
        <v>0</v>
      </c>
      <c r="O752">
        <f t="shared" si="35"/>
        <v>635.09</v>
      </c>
    </row>
    <row r="753" spans="1:15" x14ac:dyDescent="0.2">
      <c r="A753" t="s">
        <v>78</v>
      </c>
      <c r="B753">
        <v>60565</v>
      </c>
      <c r="C753" t="s">
        <v>24</v>
      </c>
      <c r="D753" t="s">
        <v>22</v>
      </c>
      <c r="E753" s="3">
        <v>44765</v>
      </c>
      <c r="F753" t="s">
        <v>33</v>
      </c>
      <c r="G753" s="2">
        <v>45070</v>
      </c>
      <c r="H753" t="s">
        <v>79</v>
      </c>
      <c r="I753" s="2">
        <v>44774</v>
      </c>
      <c r="J753">
        <v>904.57</v>
      </c>
      <c r="K753">
        <v>54.2</v>
      </c>
      <c r="L753" t="s">
        <v>16</v>
      </c>
      <c r="M753">
        <f t="shared" si="33"/>
        <v>904.57</v>
      </c>
      <c r="N753">
        <f t="shared" si="34"/>
        <v>0</v>
      </c>
      <c r="O753">
        <f t="shared" si="35"/>
        <v>904.57</v>
      </c>
    </row>
    <row r="754" spans="1:15" x14ac:dyDescent="0.2">
      <c r="A754" t="s">
        <v>78</v>
      </c>
      <c r="B754">
        <v>60565</v>
      </c>
      <c r="C754" t="s">
        <v>24</v>
      </c>
      <c r="D754" t="s">
        <v>22</v>
      </c>
      <c r="E754" s="3">
        <v>44765</v>
      </c>
      <c r="F754" t="s">
        <v>33</v>
      </c>
      <c r="G754" s="2">
        <v>45070</v>
      </c>
      <c r="H754" t="s">
        <v>79</v>
      </c>
      <c r="I754" s="2">
        <v>44805</v>
      </c>
      <c r="J754">
        <v>816.91</v>
      </c>
      <c r="K754">
        <v>41.9</v>
      </c>
      <c r="L754" t="s">
        <v>16</v>
      </c>
      <c r="M754">
        <f t="shared" si="33"/>
        <v>816.91</v>
      </c>
      <c r="N754">
        <f t="shared" si="34"/>
        <v>0</v>
      </c>
      <c r="O754">
        <f t="shared" si="35"/>
        <v>816.91</v>
      </c>
    </row>
    <row r="755" spans="1:15" x14ac:dyDescent="0.2">
      <c r="A755" t="s">
        <v>78</v>
      </c>
      <c r="B755">
        <v>60565</v>
      </c>
      <c r="C755" t="s">
        <v>24</v>
      </c>
      <c r="D755" t="s">
        <v>22</v>
      </c>
      <c r="E755" s="3">
        <v>44765</v>
      </c>
      <c r="F755" t="s">
        <v>33</v>
      </c>
      <c r="G755" s="2">
        <v>45070</v>
      </c>
      <c r="H755" t="s">
        <v>79</v>
      </c>
      <c r="I755" s="2">
        <v>44835</v>
      </c>
      <c r="J755">
        <v>825.16</v>
      </c>
      <c r="K755">
        <v>74.099999999999994</v>
      </c>
      <c r="L755" t="s">
        <v>20</v>
      </c>
      <c r="M755">
        <f t="shared" si="33"/>
        <v>825.16</v>
      </c>
      <c r="N755">
        <f t="shared" si="34"/>
        <v>0</v>
      </c>
      <c r="O755">
        <f t="shared" si="35"/>
        <v>825.16</v>
      </c>
    </row>
    <row r="756" spans="1:15" x14ac:dyDescent="0.2">
      <c r="A756" t="s">
        <v>78</v>
      </c>
      <c r="B756">
        <v>60565</v>
      </c>
      <c r="C756" t="s">
        <v>24</v>
      </c>
      <c r="D756" t="s">
        <v>22</v>
      </c>
      <c r="E756" s="3">
        <v>44765</v>
      </c>
      <c r="F756" t="s">
        <v>33</v>
      </c>
      <c r="G756" s="2">
        <v>45070</v>
      </c>
      <c r="H756" t="s">
        <v>79</v>
      </c>
      <c r="I756" s="2">
        <v>44866</v>
      </c>
      <c r="J756">
        <v>880.95</v>
      </c>
      <c r="K756">
        <v>42.6</v>
      </c>
      <c r="L756" t="s">
        <v>16</v>
      </c>
      <c r="M756">
        <f t="shared" si="33"/>
        <v>880.95</v>
      </c>
      <c r="N756">
        <f t="shared" si="34"/>
        <v>0</v>
      </c>
      <c r="O756">
        <f t="shared" si="35"/>
        <v>880.95</v>
      </c>
    </row>
    <row r="757" spans="1:15" x14ac:dyDescent="0.2">
      <c r="A757" t="s">
        <v>78</v>
      </c>
      <c r="B757">
        <v>60565</v>
      </c>
      <c r="C757" t="s">
        <v>24</v>
      </c>
      <c r="D757" t="s">
        <v>22</v>
      </c>
      <c r="E757" s="3">
        <v>44765</v>
      </c>
      <c r="F757" t="s">
        <v>33</v>
      </c>
      <c r="G757" s="2">
        <v>45070</v>
      </c>
      <c r="H757" t="s">
        <v>79</v>
      </c>
      <c r="I757" s="2">
        <v>44896</v>
      </c>
      <c r="J757">
        <v>669</v>
      </c>
      <c r="K757">
        <v>52.3</v>
      </c>
      <c r="L757" t="s">
        <v>16</v>
      </c>
      <c r="M757">
        <f t="shared" si="33"/>
        <v>669</v>
      </c>
      <c r="N757">
        <f t="shared" si="34"/>
        <v>0</v>
      </c>
      <c r="O757">
        <f t="shared" si="35"/>
        <v>669</v>
      </c>
    </row>
    <row r="758" spans="1:15" x14ac:dyDescent="0.2">
      <c r="A758" t="s">
        <v>78</v>
      </c>
      <c r="B758">
        <v>60565</v>
      </c>
      <c r="C758" t="s">
        <v>24</v>
      </c>
      <c r="D758" t="s">
        <v>22</v>
      </c>
      <c r="E758" s="3">
        <v>44765</v>
      </c>
      <c r="F758" t="s">
        <v>33</v>
      </c>
      <c r="G758" s="2">
        <v>45070</v>
      </c>
      <c r="H758" t="s">
        <v>79</v>
      </c>
      <c r="I758" s="2">
        <v>44927</v>
      </c>
      <c r="J758">
        <v>536.85</v>
      </c>
      <c r="K758">
        <v>76.2</v>
      </c>
      <c r="L758" t="s">
        <v>20</v>
      </c>
      <c r="M758">
        <f t="shared" si="33"/>
        <v>536.85</v>
      </c>
      <c r="N758">
        <f t="shared" si="34"/>
        <v>0</v>
      </c>
      <c r="O758">
        <f t="shared" si="35"/>
        <v>536.85</v>
      </c>
    </row>
    <row r="759" spans="1:15" x14ac:dyDescent="0.2">
      <c r="A759" t="s">
        <v>78</v>
      </c>
      <c r="B759">
        <v>60565</v>
      </c>
      <c r="C759" t="s">
        <v>24</v>
      </c>
      <c r="D759" t="s">
        <v>22</v>
      </c>
      <c r="E759" s="3">
        <v>44765</v>
      </c>
      <c r="F759" t="s">
        <v>33</v>
      </c>
      <c r="G759" s="2">
        <v>45070</v>
      </c>
      <c r="H759" t="s">
        <v>79</v>
      </c>
      <c r="I759" s="2">
        <v>44958</v>
      </c>
      <c r="J759">
        <v>858.1</v>
      </c>
      <c r="K759">
        <v>73.7</v>
      </c>
      <c r="L759" t="s">
        <v>20</v>
      </c>
      <c r="M759">
        <f t="shared" si="33"/>
        <v>858.1</v>
      </c>
      <c r="N759">
        <f t="shared" si="34"/>
        <v>0</v>
      </c>
      <c r="O759">
        <f t="shared" si="35"/>
        <v>858.1</v>
      </c>
    </row>
    <row r="760" spans="1:15" x14ac:dyDescent="0.2">
      <c r="A760" t="s">
        <v>78</v>
      </c>
      <c r="B760">
        <v>60565</v>
      </c>
      <c r="C760" t="s">
        <v>24</v>
      </c>
      <c r="D760" t="s">
        <v>22</v>
      </c>
      <c r="E760" s="3">
        <v>44765</v>
      </c>
      <c r="F760" t="s">
        <v>33</v>
      </c>
      <c r="G760" s="2">
        <v>45070</v>
      </c>
      <c r="H760" t="s">
        <v>79</v>
      </c>
      <c r="I760" s="2">
        <v>44986</v>
      </c>
      <c r="J760">
        <v>556.28</v>
      </c>
      <c r="K760">
        <v>52.8</v>
      </c>
      <c r="L760" t="s">
        <v>16</v>
      </c>
      <c r="M760">
        <f t="shared" si="33"/>
        <v>556.28</v>
      </c>
      <c r="N760">
        <f t="shared" si="34"/>
        <v>0</v>
      </c>
      <c r="O760">
        <f t="shared" si="35"/>
        <v>556.28</v>
      </c>
    </row>
    <row r="761" spans="1:15" x14ac:dyDescent="0.2">
      <c r="A761" t="s">
        <v>78</v>
      </c>
      <c r="B761">
        <v>60565</v>
      </c>
      <c r="C761" t="s">
        <v>24</v>
      </c>
      <c r="D761" t="s">
        <v>22</v>
      </c>
      <c r="E761" s="3">
        <v>44765</v>
      </c>
      <c r="F761" t="s">
        <v>33</v>
      </c>
      <c r="G761" s="2">
        <v>45070</v>
      </c>
      <c r="H761" t="s">
        <v>79</v>
      </c>
      <c r="I761" s="2">
        <v>45017</v>
      </c>
      <c r="J761">
        <v>577.78</v>
      </c>
      <c r="K761">
        <v>103.1</v>
      </c>
      <c r="L761" t="s">
        <v>20</v>
      </c>
      <c r="M761">
        <f t="shared" si="33"/>
        <v>577.78</v>
      </c>
      <c r="N761">
        <f t="shared" si="34"/>
        <v>0</v>
      </c>
      <c r="O761">
        <f t="shared" si="35"/>
        <v>577.78</v>
      </c>
    </row>
    <row r="762" spans="1:15" x14ac:dyDescent="0.2">
      <c r="A762" t="s">
        <v>78</v>
      </c>
      <c r="B762">
        <v>60565</v>
      </c>
      <c r="C762" t="s">
        <v>24</v>
      </c>
      <c r="D762" t="s">
        <v>22</v>
      </c>
      <c r="E762" s="3">
        <v>44765</v>
      </c>
      <c r="F762" t="s">
        <v>33</v>
      </c>
      <c r="G762" s="2">
        <v>45070</v>
      </c>
      <c r="H762" t="s">
        <v>79</v>
      </c>
      <c r="I762" s="2">
        <v>45047</v>
      </c>
      <c r="J762">
        <v>597.76</v>
      </c>
      <c r="K762">
        <v>40.6</v>
      </c>
      <c r="L762" t="s">
        <v>16</v>
      </c>
      <c r="M762">
        <f t="shared" si="33"/>
        <v>597.76</v>
      </c>
      <c r="N762">
        <f t="shared" si="34"/>
        <v>0</v>
      </c>
      <c r="O762">
        <f t="shared" si="35"/>
        <v>597.76</v>
      </c>
    </row>
    <row r="763" spans="1:15" x14ac:dyDescent="0.2">
      <c r="A763" t="s">
        <v>78</v>
      </c>
      <c r="B763">
        <v>60565</v>
      </c>
      <c r="C763" t="s">
        <v>24</v>
      </c>
      <c r="D763" t="s">
        <v>22</v>
      </c>
      <c r="E763" s="3">
        <v>44765</v>
      </c>
      <c r="F763" t="s">
        <v>33</v>
      </c>
      <c r="G763" s="2">
        <v>45070</v>
      </c>
      <c r="H763" t="s">
        <v>79</v>
      </c>
      <c r="I763" s="2">
        <v>45078</v>
      </c>
      <c r="J763">
        <v>907.99</v>
      </c>
      <c r="K763">
        <v>76</v>
      </c>
      <c r="L763" t="s">
        <v>20</v>
      </c>
      <c r="M763">
        <f t="shared" si="33"/>
        <v>0</v>
      </c>
      <c r="N763">
        <f t="shared" si="34"/>
        <v>907.99</v>
      </c>
      <c r="O763">
        <f t="shared" si="35"/>
        <v>-907.99</v>
      </c>
    </row>
    <row r="764" spans="1:15" x14ac:dyDescent="0.2">
      <c r="A764" t="s">
        <v>78</v>
      </c>
      <c r="B764">
        <v>60565</v>
      </c>
      <c r="C764" t="s">
        <v>24</v>
      </c>
      <c r="D764" t="s">
        <v>22</v>
      </c>
      <c r="E764" s="3">
        <v>44765</v>
      </c>
      <c r="F764" t="s">
        <v>33</v>
      </c>
      <c r="G764" s="2">
        <v>45070</v>
      </c>
      <c r="H764" t="s">
        <v>79</v>
      </c>
      <c r="I764" s="2">
        <v>45108</v>
      </c>
      <c r="J764">
        <v>749.34</v>
      </c>
      <c r="K764">
        <v>38.9</v>
      </c>
      <c r="L764" t="s">
        <v>19</v>
      </c>
      <c r="M764">
        <f t="shared" si="33"/>
        <v>0</v>
      </c>
      <c r="N764">
        <f t="shared" si="34"/>
        <v>749.34</v>
      </c>
      <c r="O764">
        <f t="shared" si="35"/>
        <v>-749.34</v>
      </c>
    </row>
    <row r="765" spans="1:15" x14ac:dyDescent="0.2">
      <c r="A765" t="s">
        <v>78</v>
      </c>
      <c r="B765">
        <v>60565</v>
      </c>
      <c r="C765" t="s">
        <v>24</v>
      </c>
      <c r="D765" t="s">
        <v>22</v>
      </c>
      <c r="E765" s="3">
        <v>44765</v>
      </c>
      <c r="F765" t="s">
        <v>33</v>
      </c>
      <c r="G765" s="2">
        <v>45070</v>
      </c>
      <c r="H765" t="s">
        <v>79</v>
      </c>
      <c r="I765" s="2">
        <v>45139</v>
      </c>
      <c r="J765">
        <v>796.54</v>
      </c>
      <c r="K765">
        <v>80</v>
      </c>
      <c r="L765" t="s">
        <v>20</v>
      </c>
      <c r="M765">
        <f t="shared" si="33"/>
        <v>0</v>
      </c>
      <c r="N765">
        <f t="shared" si="34"/>
        <v>796.54</v>
      </c>
      <c r="O765">
        <f t="shared" si="35"/>
        <v>-796.54</v>
      </c>
    </row>
    <row r="766" spans="1:15" x14ac:dyDescent="0.2">
      <c r="A766" t="s">
        <v>78</v>
      </c>
      <c r="B766">
        <v>60565</v>
      </c>
      <c r="C766" t="s">
        <v>24</v>
      </c>
      <c r="D766" t="s">
        <v>22</v>
      </c>
      <c r="E766" s="3">
        <v>44765</v>
      </c>
      <c r="F766" t="s">
        <v>33</v>
      </c>
      <c r="G766" s="2">
        <v>45070</v>
      </c>
      <c r="H766" t="s">
        <v>79</v>
      </c>
      <c r="I766" s="2">
        <v>45170</v>
      </c>
      <c r="J766">
        <v>719.62</v>
      </c>
      <c r="K766">
        <v>84.9</v>
      </c>
      <c r="L766" t="s">
        <v>20</v>
      </c>
      <c r="M766">
        <f t="shared" si="33"/>
        <v>0</v>
      </c>
      <c r="N766">
        <f t="shared" si="34"/>
        <v>719.62</v>
      </c>
      <c r="O766">
        <f t="shared" si="35"/>
        <v>-719.62</v>
      </c>
    </row>
    <row r="767" spans="1:15" x14ac:dyDescent="0.2">
      <c r="A767" t="s">
        <v>78</v>
      </c>
      <c r="B767">
        <v>60565</v>
      </c>
      <c r="C767" t="s">
        <v>24</v>
      </c>
      <c r="D767" t="s">
        <v>22</v>
      </c>
      <c r="E767" s="3">
        <v>44765</v>
      </c>
      <c r="F767" t="s">
        <v>33</v>
      </c>
      <c r="G767" s="2">
        <v>45070</v>
      </c>
      <c r="H767" t="s">
        <v>79</v>
      </c>
      <c r="I767" s="2">
        <v>45200</v>
      </c>
      <c r="J767">
        <v>639.80999999999995</v>
      </c>
      <c r="K767">
        <v>80.8</v>
      </c>
      <c r="L767" t="s">
        <v>20</v>
      </c>
      <c r="M767">
        <f t="shared" si="33"/>
        <v>0</v>
      </c>
      <c r="N767">
        <f t="shared" si="34"/>
        <v>639.80999999999995</v>
      </c>
      <c r="O767">
        <f t="shared" si="35"/>
        <v>-639.80999999999995</v>
      </c>
    </row>
    <row r="768" spans="1:15" x14ac:dyDescent="0.2">
      <c r="A768" t="s">
        <v>78</v>
      </c>
      <c r="B768">
        <v>60565</v>
      </c>
      <c r="C768" t="s">
        <v>24</v>
      </c>
      <c r="D768" t="s">
        <v>22</v>
      </c>
      <c r="E768" s="3">
        <v>44765</v>
      </c>
      <c r="F768" t="s">
        <v>33</v>
      </c>
      <c r="G768" s="2">
        <v>45070</v>
      </c>
      <c r="H768" t="s">
        <v>79</v>
      </c>
      <c r="I768" s="2">
        <v>45231</v>
      </c>
      <c r="J768">
        <v>763.13</v>
      </c>
      <c r="K768">
        <v>46.5</v>
      </c>
      <c r="L768" t="s">
        <v>16</v>
      </c>
      <c r="M768">
        <f t="shared" si="33"/>
        <v>0</v>
      </c>
      <c r="N768">
        <f t="shared" si="34"/>
        <v>763.13</v>
      </c>
      <c r="O768">
        <f t="shared" si="35"/>
        <v>-763.13</v>
      </c>
    </row>
    <row r="769" spans="1:15" x14ac:dyDescent="0.2">
      <c r="A769" t="s">
        <v>78</v>
      </c>
      <c r="B769">
        <v>60565</v>
      </c>
      <c r="C769" t="s">
        <v>24</v>
      </c>
      <c r="D769" t="s">
        <v>22</v>
      </c>
      <c r="E769" s="3">
        <v>44765</v>
      </c>
      <c r="F769" t="s">
        <v>33</v>
      </c>
      <c r="G769" s="2">
        <v>45070</v>
      </c>
      <c r="H769" t="s">
        <v>79</v>
      </c>
      <c r="I769" s="2">
        <v>45261</v>
      </c>
      <c r="J769">
        <v>544.34</v>
      </c>
      <c r="K769">
        <v>29.2</v>
      </c>
      <c r="L769" t="s">
        <v>19</v>
      </c>
      <c r="M769">
        <f t="shared" si="33"/>
        <v>0</v>
      </c>
      <c r="N769">
        <f t="shared" si="34"/>
        <v>544.34</v>
      </c>
      <c r="O769">
        <f t="shared" si="35"/>
        <v>-544.34</v>
      </c>
    </row>
    <row r="770" spans="1:15" x14ac:dyDescent="0.2">
      <c r="A770" t="s">
        <v>80</v>
      </c>
      <c r="B770">
        <v>60564</v>
      </c>
      <c r="C770" t="s">
        <v>13</v>
      </c>
      <c r="D770" t="s">
        <v>22</v>
      </c>
      <c r="E770" s="3">
        <v>44782</v>
      </c>
      <c r="F770" t="s">
        <v>36</v>
      </c>
      <c r="G770" s="2">
        <v>45068</v>
      </c>
      <c r="H770" t="s">
        <v>81</v>
      </c>
      <c r="I770" s="2">
        <v>44562</v>
      </c>
      <c r="J770">
        <v>825.99</v>
      </c>
      <c r="K770">
        <v>43</v>
      </c>
      <c r="L770" t="s">
        <v>16</v>
      </c>
      <c r="M770">
        <f t="shared" ref="M770:M833" si="36">SUMIFS(J770,I770, "&lt;" &amp;G770,I770,"&lt;&gt;",G770,"&lt;&gt;")</f>
        <v>825.99</v>
      </c>
      <c r="N770">
        <f t="shared" ref="N770:N833" si="37">SUMIFS(J770,I770, "&gt;=" &amp;G770,I770,"&lt;&gt;",G770,"&lt;&gt;")</f>
        <v>0</v>
      </c>
      <c r="O770">
        <f t="shared" ref="O770:O833" si="38">SUM(M770-N770)</f>
        <v>825.99</v>
      </c>
    </row>
    <row r="771" spans="1:15" x14ac:dyDescent="0.2">
      <c r="A771" t="s">
        <v>82</v>
      </c>
      <c r="B771">
        <v>60565</v>
      </c>
      <c r="C771" t="s">
        <v>13</v>
      </c>
      <c r="D771" t="s">
        <v>22</v>
      </c>
      <c r="E771" s="3">
        <v>44692</v>
      </c>
      <c r="F771" t="s">
        <v>36</v>
      </c>
      <c r="G771" s="2">
        <v>44778</v>
      </c>
      <c r="H771" t="s">
        <v>83</v>
      </c>
      <c r="I771" s="2">
        <v>44562</v>
      </c>
      <c r="J771">
        <v>709.4</v>
      </c>
      <c r="K771">
        <v>43</v>
      </c>
      <c r="L771" t="s">
        <v>16</v>
      </c>
      <c r="M771">
        <f t="shared" si="36"/>
        <v>709.4</v>
      </c>
      <c r="N771">
        <f t="shared" si="37"/>
        <v>0</v>
      </c>
      <c r="O771">
        <f t="shared" si="38"/>
        <v>709.4</v>
      </c>
    </row>
    <row r="772" spans="1:15" x14ac:dyDescent="0.2">
      <c r="A772" t="s">
        <v>80</v>
      </c>
      <c r="B772">
        <v>60564</v>
      </c>
      <c r="C772" t="s">
        <v>13</v>
      </c>
      <c r="D772" t="s">
        <v>22</v>
      </c>
      <c r="E772" s="3">
        <v>44782</v>
      </c>
      <c r="F772" t="s">
        <v>36</v>
      </c>
      <c r="G772" s="2">
        <v>45068</v>
      </c>
      <c r="H772" t="s">
        <v>81</v>
      </c>
      <c r="I772" s="2">
        <v>44593</v>
      </c>
      <c r="J772">
        <v>670.9</v>
      </c>
      <c r="K772">
        <v>26.4</v>
      </c>
      <c r="L772" t="s">
        <v>19</v>
      </c>
      <c r="M772">
        <f t="shared" si="36"/>
        <v>670.9</v>
      </c>
      <c r="N772">
        <f t="shared" si="37"/>
        <v>0</v>
      </c>
      <c r="O772">
        <f t="shared" si="38"/>
        <v>670.9</v>
      </c>
    </row>
    <row r="773" spans="1:15" x14ac:dyDescent="0.2">
      <c r="A773" t="s">
        <v>82</v>
      </c>
      <c r="B773">
        <v>60565</v>
      </c>
      <c r="C773" t="s">
        <v>13</v>
      </c>
      <c r="D773" t="s">
        <v>22</v>
      </c>
      <c r="E773" s="3">
        <v>44692</v>
      </c>
      <c r="F773" t="s">
        <v>36</v>
      </c>
      <c r="G773" s="2">
        <v>44778</v>
      </c>
      <c r="H773" t="s">
        <v>83</v>
      </c>
      <c r="I773" s="2">
        <v>44593</v>
      </c>
      <c r="J773">
        <v>897.49</v>
      </c>
      <c r="K773">
        <v>26.4</v>
      </c>
      <c r="L773" t="s">
        <v>19</v>
      </c>
      <c r="M773">
        <f t="shared" si="36"/>
        <v>897.49</v>
      </c>
      <c r="N773">
        <f t="shared" si="37"/>
        <v>0</v>
      </c>
      <c r="O773">
        <f t="shared" si="38"/>
        <v>897.49</v>
      </c>
    </row>
    <row r="774" spans="1:15" x14ac:dyDescent="0.2">
      <c r="A774" t="s">
        <v>80</v>
      </c>
      <c r="B774">
        <v>60564</v>
      </c>
      <c r="C774" t="s">
        <v>13</v>
      </c>
      <c r="D774" t="s">
        <v>22</v>
      </c>
      <c r="E774" s="3">
        <v>44782</v>
      </c>
      <c r="F774" t="s">
        <v>36</v>
      </c>
      <c r="G774" s="2">
        <v>45068</v>
      </c>
      <c r="H774" t="s">
        <v>81</v>
      </c>
      <c r="I774" s="2">
        <v>44621</v>
      </c>
      <c r="J774">
        <v>643.95000000000005</v>
      </c>
      <c r="K774">
        <v>29.5</v>
      </c>
      <c r="L774" t="s">
        <v>19</v>
      </c>
      <c r="M774">
        <f t="shared" si="36"/>
        <v>643.95000000000005</v>
      </c>
      <c r="N774">
        <f t="shared" si="37"/>
        <v>0</v>
      </c>
      <c r="O774">
        <f t="shared" si="38"/>
        <v>643.95000000000005</v>
      </c>
    </row>
    <row r="775" spans="1:15" x14ac:dyDescent="0.2">
      <c r="A775" t="s">
        <v>82</v>
      </c>
      <c r="B775">
        <v>60565</v>
      </c>
      <c r="C775" t="s">
        <v>13</v>
      </c>
      <c r="D775" t="s">
        <v>22</v>
      </c>
      <c r="E775" s="3">
        <v>44692</v>
      </c>
      <c r="F775" t="s">
        <v>36</v>
      </c>
      <c r="G775" s="2">
        <v>44778</v>
      </c>
      <c r="H775" t="s">
        <v>83</v>
      </c>
      <c r="I775" s="2">
        <v>44621</v>
      </c>
      <c r="J775">
        <v>776.45</v>
      </c>
      <c r="K775">
        <v>29.5</v>
      </c>
      <c r="L775" t="s">
        <v>19</v>
      </c>
      <c r="M775">
        <f t="shared" si="36"/>
        <v>776.45</v>
      </c>
      <c r="N775">
        <f t="shared" si="37"/>
        <v>0</v>
      </c>
      <c r="O775">
        <f t="shared" si="38"/>
        <v>776.45</v>
      </c>
    </row>
    <row r="776" spans="1:15" x14ac:dyDescent="0.2">
      <c r="A776" t="s">
        <v>80</v>
      </c>
      <c r="B776">
        <v>60564</v>
      </c>
      <c r="C776" t="s">
        <v>13</v>
      </c>
      <c r="D776" t="s">
        <v>22</v>
      </c>
      <c r="E776" s="3">
        <v>44782</v>
      </c>
      <c r="F776" t="s">
        <v>36</v>
      </c>
      <c r="G776" s="2">
        <v>45068</v>
      </c>
      <c r="H776" t="s">
        <v>81</v>
      </c>
      <c r="I776" s="2">
        <v>44652</v>
      </c>
      <c r="J776">
        <v>820.67</v>
      </c>
      <c r="K776">
        <v>50.8</v>
      </c>
      <c r="L776" t="s">
        <v>16</v>
      </c>
      <c r="M776">
        <f t="shared" si="36"/>
        <v>820.67</v>
      </c>
      <c r="N776">
        <f t="shared" si="37"/>
        <v>0</v>
      </c>
      <c r="O776">
        <f t="shared" si="38"/>
        <v>820.67</v>
      </c>
    </row>
    <row r="777" spans="1:15" x14ac:dyDescent="0.2">
      <c r="A777" t="s">
        <v>82</v>
      </c>
      <c r="B777">
        <v>60565</v>
      </c>
      <c r="C777" t="s">
        <v>13</v>
      </c>
      <c r="D777" t="s">
        <v>22</v>
      </c>
      <c r="E777" s="3">
        <v>44692</v>
      </c>
      <c r="F777" t="s">
        <v>36</v>
      </c>
      <c r="G777" s="2">
        <v>44778</v>
      </c>
      <c r="H777" t="s">
        <v>83</v>
      </c>
      <c r="I777" s="2">
        <v>44652</v>
      </c>
      <c r="J777">
        <v>810.21</v>
      </c>
      <c r="K777">
        <v>50.8</v>
      </c>
      <c r="L777" t="s">
        <v>16</v>
      </c>
      <c r="M777">
        <f t="shared" si="36"/>
        <v>810.21</v>
      </c>
      <c r="N777">
        <f t="shared" si="37"/>
        <v>0</v>
      </c>
      <c r="O777">
        <f t="shared" si="38"/>
        <v>810.21</v>
      </c>
    </row>
    <row r="778" spans="1:15" x14ac:dyDescent="0.2">
      <c r="A778" t="s">
        <v>80</v>
      </c>
      <c r="B778">
        <v>60564</v>
      </c>
      <c r="C778" t="s">
        <v>13</v>
      </c>
      <c r="D778" t="s">
        <v>22</v>
      </c>
      <c r="E778" s="3">
        <v>44782</v>
      </c>
      <c r="F778" t="s">
        <v>36</v>
      </c>
      <c r="G778" s="2">
        <v>45068</v>
      </c>
      <c r="H778" t="s">
        <v>81</v>
      </c>
      <c r="I778" s="2">
        <v>44682</v>
      </c>
      <c r="J778">
        <v>765.02</v>
      </c>
      <c r="K778">
        <v>46.3</v>
      </c>
      <c r="L778" t="s">
        <v>16</v>
      </c>
      <c r="M778">
        <f t="shared" si="36"/>
        <v>765.02</v>
      </c>
      <c r="N778">
        <f t="shared" si="37"/>
        <v>0</v>
      </c>
      <c r="O778">
        <f t="shared" si="38"/>
        <v>765.02</v>
      </c>
    </row>
    <row r="779" spans="1:15" x14ac:dyDescent="0.2">
      <c r="A779" t="s">
        <v>82</v>
      </c>
      <c r="B779">
        <v>60565</v>
      </c>
      <c r="C779" t="s">
        <v>13</v>
      </c>
      <c r="D779" t="s">
        <v>22</v>
      </c>
      <c r="E779" s="3">
        <v>44692</v>
      </c>
      <c r="F779" t="s">
        <v>36</v>
      </c>
      <c r="G779" s="2">
        <v>44778</v>
      </c>
      <c r="H779" t="s">
        <v>83</v>
      </c>
      <c r="I779" s="2">
        <v>44682</v>
      </c>
      <c r="J779">
        <v>855.11</v>
      </c>
      <c r="K779">
        <v>46.3</v>
      </c>
      <c r="L779" t="s">
        <v>16</v>
      </c>
      <c r="M779">
        <f t="shared" si="36"/>
        <v>855.11</v>
      </c>
      <c r="N779">
        <f t="shared" si="37"/>
        <v>0</v>
      </c>
      <c r="O779">
        <f t="shared" si="38"/>
        <v>855.11</v>
      </c>
    </row>
    <row r="780" spans="1:15" x14ac:dyDescent="0.2">
      <c r="A780" t="s">
        <v>80</v>
      </c>
      <c r="B780">
        <v>60564</v>
      </c>
      <c r="C780" t="s">
        <v>13</v>
      </c>
      <c r="D780" t="s">
        <v>22</v>
      </c>
      <c r="E780" s="3">
        <v>44782</v>
      </c>
      <c r="F780" t="s">
        <v>36</v>
      </c>
      <c r="G780" s="2">
        <v>45068</v>
      </c>
      <c r="H780" t="s">
        <v>81</v>
      </c>
      <c r="I780" s="2">
        <v>44713</v>
      </c>
      <c r="J780">
        <v>588.92999999999995</v>
      </c>
      <c r="K780">
        <v>61.1</v>
      </c>
      <c r="L780" t="s">
        <v>16</v>
      </c>
      <c r="M780">
        <f t="shared" si="36"/>
        <v>588.92999999999995</v>
      </c>
      <c r="N780">
        <f t="shared" si="37"/>
        <v>0</v>
      </c>
      <c r="O780">
        <f t="shared" si="38"/>
        <v>588.92999999999995</v>
      </c>
    </row>
    <row r="781" spans="1:15" x14ac:dyDescent="0.2">
      <c r="A781" t="s">
        <v>82</v>
      </c>
      <c r="B781">
        <v>60565</v>
      </c>
      <c r="C781" t="s">
        <v>13</v>
      </c>
      <c r="D781" t="s">
        <v>22</v>
      </c>
      <c r="E781" s="3">
        <v>44692</v>
      </c>
      <c r="F781" t="s">
        <v>36</v>
      </c>
      <c r="G781" s="2">
        <v>44778</v>
      </c>
      <c r="H781" t="s">
        <v>83</v>
      </c>
      <c r="I781" s="2">
        <v>44713</v>
      </c>
      <c r="J781">
        <v>803.89</v>
      </c>
      <c r="K781">
        <v>61.1</v>
      </c>
      <c r="L781" t="s">
        <v>16</v>
      </c>
      <c r="M781">
        <f t="shared" si="36"/>
        <v>803.89</v>
      </c>
      <c r="N781">
        <f t="shared" si="37"/>
        <v>0</v>
      </c>
      <c r="O781">
        <f t="shared" si="38"/>
        <v>803.89</v>
      </c>
    </row>
    <row r="782" spans="1:15" x14ac:dyDescent="0.2">
      <c r="A782" t="s">
        <v>80</v>
      </c>
      <c r="B782">
        <v>60564</v>
      </c>
      <c r="C782" t="s">
        <v>13</v>
      </c>
      <c r="D782" t="s">
        <v>22</v>
      </c>
      <c r="E782" s="3">
        <v>44782</v>
      </c>
      <c r="F782" t="s">
        <v>36</v>
      </c>
      <c r="G782" s="2">
        <v>45068</v>
      </c>
      <c r="H782" t="s">
        <v>81</v>
      </c>
      <c r="I782" s="2">
        <v>44743</v>
      </c>
      <c r="J782">
        <v>934.31</v>
      </c>
      <c r="K782">
        <v>27.4</v>
      </c>
      <c r="L782" t="s">
        <v>19</v>
      </c>
      <c r="M782">
        <f t="shared" si="36"/>
        <v>934.31</v>
      </c>
      <c r="N782">
        <f t="shared" si="37"/>
        <v>0</v>
      </c>
      <c r="O782">
        <f t="shared" si="38"/>
        <v>934.31</v>
      </c>
    </row>
    <row r="783" spans="1:15" x14ac:dyDescent="0.2">
      <c r="A783" t="s">
        <v>82</v>
      </c>
      <c r="B783">
        <v>60565</v>
      </c>
      <c r="C783" t="s">
        <v>13</v>
      </c>
      <c r="D783" t="s">
        <v>22</v>
      </c>
      <c r="E783" s="3">
        <v>44692</v>
      </c>
      <c r="F783" t="s">
        <v>36</v>
      </c>
      <c r="G783" s="2">
        <v>44778</v>
      </c>
      <c r="H783" t="s">
        <v>83</v>
      </c>
      <c r="I783" s="2">
        <v>44743</v>
      </c>
      <c r="J783">
        <v>804.33</v>
      </c>
      <c r="K783">
        <v>27.4</v>
      </c>
      <c r="L783" t="s">
        <v>19</v>
      </c>
      <c r="M783">
        <f t="shared" si="36"/>
        <v>804.33</v>
      </c>
      <c r="N783">
        <f t="shared" si="37"/>
        <v>0</v>
      </c>
      <c r="O783">
        <f t="shared" si="38"/>
        <v>804.33</v>
      </c>
    </row>
    <row r="784" spans="1:15" x14ac:dyDescent="0.2">
      <c r="A784" t="s">
        <v>80</v>
      </c>
      <c r="B784">
        <v>60564</v>
      </c>
      <c r="C784" t="s">
        <v>13</v>
      </c>
      <c r="D784" t="s">
        <v>22</v>
      </c>
      <c r="E784" s="3">
        <v>44782</v>
      </c>
      <c r="F784" t="s">
        <v>36</v>
      </c>
      <c r="G784" s="2">
        <v>45068</v>
      </c>
      <c r="H784" t="s">
        <v>81</v>
      </c>
      <c r="I784" s="2">
        <v>44774</v>
      </c>
      <c r="J784">
        <v>669.23</v>
      </c>
      <c r="K784">
        <v>54.2</v>
      </c>
      <c r="L784" t="s">
        <v>16</v>
      </c>
      <c r="M784">
        <f t="shared" si="36"/>
        <v>669.23</v>
      </c>
      <c r="N784">
        <f t="shared" si="37"/>
        <v>0</v>
      </c>
      <c r="O784">
        <f t="shared" si="38"/>
        <v>669.23</v>
      </c>
    </row>
    <row r="785" spans="1:15" x14ac:dyDescent="0.2">
      <c r="A785" t="s">
        <v>82</v>
      </c>
      <c r="B785">
        <v>60565</v>
      </c>
      <c r="C785" t="s">
        <v>13</v>
      </c>
      <c r="D785" t="s">
        <v>22</v>
      </c>
      <c r="E785" s="3">
        <v>44692</v>
      </c>
      <c r="F785" t="s">
        <v>36</v>
      </c>
      <c r="G785" s="2">
        <v>44778</v>
      </c>
      <c r="H785" t="s">
        <v>83</v>
      </c>
      <c r="I785" s="2">
        <v>44774</v>
      </c>
      <c r="J785">
        <v>903.05</v>
      </c>
      <c r="K785">
        <v>54.2</v>
      </c>
      <c r="L785" t="s">
        <v>16</v>
      </c>
      <c r="M785">
        <f t="shared" si="36"/>
        <v>903.05</v>
      </c>
      <c r="N785">
        <f t="shared" si="37"/>
        <v>0</v>
      </c>
      <c r="O785">
        <f t="shared" si="38"/>
        <v>903.05</v>
      </c>
    </row>
    <row r="786" spans="1:15" x14ac:dyDescent="0.2">
      <c r="A786" t="s">
        <v>80</v>
      </c>
      <c r="B786">
        <v>60564</v>
      </c>
      <c r="C786" t="s">
        <v>13</v>
      </c>
      <c r="D786" t="s">
        <v>22</v>
      </c>
      <c r="E786" s="3">
        <v>44782</v>
      </c>
      <c r="F786" t="s">
        <v>36</v>
      </c>
      <c r="G786" s="2">
        <v>45068</v>
      </c>
      <c r="H786" t="s">
        <v>81</v>
      </c>
      <c r="I786" s="2">
        <v>44805</v>
      </c>
      <c r="J786">
        <v>1057.33</v>
      </c>
      <c r="K786">
        <v>41.9</v>
      </c>
      <c r="L786" t="s">
        <v>16</v>
      </c>
      <c r="M786">
        <f t="shared" si="36"/>
        <v>1057.33</v>
      </c>
      <c r="N786">
        <f t="shared" si="37"/>
        <v>0</v>
      </c>
      <c r="O786">
        <f t="shared" si="38"/>
        <v>1057.33</v>
      </c>
    </row>
    <row r="787" spans="1:15" x14ac:dyDescent="0.2">
      <c r="A787" t="s">
        <v>82</v>
      </c>
      <c r="B787">
        <v>60565</v>
      </c>
      <c r="C787" t="s">
        <v>13</v>
      </c>
      <c r="D787" t="s">
        <v>22</v>
      </c>
      <c r="E787" s="3">
        <v>44692</v>
      </c>
      <c r="F787" t="s">
        <v>36</v>
      </c>
      <c r="G787" s="2">
        <v>44778</v>
      </c>
      <c r="H787" t="s">
        <v>83</v>
      </c>
      <c r="I787" s="2">
        <v>44805</v>
      </c>
      <c r="J787">
        <v>815.14</v>
      </c>
      <c r="K787">
        <v>41.9</v>
      </c>
      <c r="L787" t="s">
        <v>16</v>
      </c>
      <c r="M787">
        <f t="shared" si="36"/>
        <v>0</v>
      </c>
      <c r="N787">
        <f t="shared" si="37"/>
        <v>815.14</v>
      </c>
      <c r="O787">
        <f t="shared" si="38"/>
        <v>-815.14</v>
      </c>
    </row>
    <row r="788" spans="1:15" x14ac:dyDescent="0.2">
      <c r="A788" t="s">
        <v>80</v>
      </c>
      <c r="B788">
        <v>60564</v>
      </c>
      <c r="C788" t="s">
        <v>13</v>
      </c>
      <c r="D788" t="s">
        <v>22</v>
      </c>
      <c r="E788" s="3">
        <v>44782</v>
      </c>
      <c r="F788" t="s">
        <v>36</v>
      </c>
      <c r="G788" s="2">
        <v>45068</v>
      </c>
      <c r="H788" t="s">
        <v>81</v>
      </c>
      <c r="I788" s="2">
        <v>44835</v>
      </c>
      <c r="J788">
        <v>737.6</v>
      </c>
      <c r="K788">
        <v>74.099999999999994</v>
      </c>
      <c r="L788" t="s">
        <v>20</v>
      </c>
      <c r="M788">
        <f t="shared" si="36"/>
        <v>737.6</v>
      </c>
      <c r="N788">
        <f t="shared" si="37"/>
        <v>0</v>
      </c>
      <c r="O788">
        <f t="shared" si="38"/>
        <v>737.6</v>
      </c>
    </row>
    <row r="789" spans="1:15" x14ac:dyDescent="0.2">
      <c r="A789" t="s">
        <v>82</v>
      </c>
      <c r="B789">
        <v>60565</v>
      </c>
      <c r="C789" t="s">
        <v>13</v>
      </c>
      <c r="D789" t="s">
        <v>22</v>
      </c>
      <c r="E789" s="3">
        <v>44692</v>
      </c>
      <c r="F789" t="s">
        <v>36</v>
      </c>
      <c r="G789" s="2">
        <v>44778</v>
      </c>
      <c r="H789" t="s">
        <v>83</v>
      </c>
      <c r="I789" s="2">
        <v>44835</v>
      </c>
      <c r="J789">
        <v>886.28</v>
      </c>
      <c r="K789">
        <v>74.099999999999994</v>
      </c>
      <c r="L789" t="s">
        <v>20</v>
      </c>
      <c r="M789">
        <f t="shared" si="36"/>
        <v>0</v>
      </c>
      <c r="N789">
        <f t="shared" si="37"/>
        <v>886.28</v>
      </c>
      <c r="O789">
        <f t="shared" si="38"/>
        <v>-886.28</v>
      </c>
    </row>
    <row r="790" spans="1:15" x14ac:dyDescent="0.2">
      <c r="A790" t="s">
        <v>80</v>
      </c>
      <c r="B790">
        <v>60564</v>
      </c>
      <c r="C790" t="s">
        <v>13</v>
      </c>
      <c r="D790" t="s">
        <v>22</v>
      </c>
      <c r="E790" s="3">
        <v>44782</v>
      </c>
      <c r="F790" t="s">
        <v>36</v>
      </c>
      <c r="G790" s="2">
        <v>45068</v>
      </c>
      <c r="H790" t="s">
        <v>81</v>
      </c>
      <c r="I790" s="2">
        <v>44866</v>
      </c>
      <c r="J790">
        <v>840.16</v>
      </c>
      <c r="K790">
        <v>42.6</v>
      </c>
      <c r="L790" t="s">
        <v>16</v>
      </c>
      <c r="M790">
        <f t="shared" si="36"/>
        <v>840.16</v>
      </c>
      <c r="N790">
        <f t="shared" si="37"/>
        <v>0</v>
      </c>
      <c r="O790">
        <f t="shared" si="38"/>
        <v>840.16</v>
      </c>
    </row>
    <row r="791" spans="1:15" x14ac:dyDescent="0.2">
      <c r="A791" t="s">
        <v>82</v>
      </c>
      <c r="B791">
        <v>60565</v>
      </c>
      <c r="C791" t="s">
        <v>13</v>
      </c>
      <c r="D791" t="s">
        <v>22</v>
      </c>
      <c r="E791" s="3">
        <v>44692</v>
      </c>
      <c r="F791" t="s">
        <v>36</v>
      </c>
      <c r="G791" s="2">
        <v>44778</v>
      </c>
      <c r="H791" t="s">
        <v>83</v>
      </c>
      <c r="I791" s="2">
        <v>44866</v>
      </c>
      <c r="J791">
        <v>854.47</v>
      </c>
      <c r="K791">
        <v>42.6</v>
      </c>
      <c r="L791" t="s">
        <v>16</v>
      </c>
      <c r="M791">
        <f t="shared" si="36"/>
        <v>0</v>
      </c>
      <c r="N791">
        <f t="shared" si="37"/>
        <v>854.47</v>
      </c>
      <c r="O791">
        <f t="shared" si="38"/>
        <v>-854.47</v>
      </c>
    </row>
    <row r="792" spans="1:15" x14ac:dyDescent="0.2">
      <c r="A792" t="s">
        <v>80</v>
      </c>
      <c r="B792">
        <v>60564</v>
      </c>
      <c r="C792" t="s">
        <v>13</v>
      </c>
      <c r="D792" t="s">
        <v>22</v>
      </c>
      <c r="E792" s="3">
        <v>44782</v>
      </c>
      <c r="F792" t="s">
        <v>36</v>
      </c>
      <c r="G792" s="2">
        <v>45068</v>
      </c>
      <c r="H792" t="s">
        <v>81</v>
      </c>
      <c r="I792" s="2">
        <v>44896</v>
      </c>
      <c r="J792">
        <v>964.69</v>
      </c>
      <c r="K792">
        <v>52.3</v>
      </c>
      <c r="L792" t="s">
        <v>16</v>
      </c>
      <c r="M792">
        <f t="shared" si="36"/>
        <v>964.69</v>
      </c>
      <c r="N792">
        <f t="shared" si="37"/>
        <v>0</v>
      </c>
      <c r="O792">
        <f t="shared" si="38"/>
        <v>964.69</v>
      </c>
    </row>
    <row r="793" spans="1:15" x14ac:dyDescent="0.2">
      <c r="A793" t="s">
        <v>82</v>
      </c>
      <c r="B793">
        <v>60565</v>
      </c>
      <c r="C793" t="s">
        <v>13</v>
      </c>
      <c r="D793" t="s">
        <v>22</v>
      </c>
      <c r="E793" s="3">
        <v>44692</v>
      </c>
      <c r="F793" t="s">
        <v>36</v>
      </c>
      <c r="G793" s="2">
        <v>44778</v>
      </c>
      <c r="H793" t="s">
        <v>83</v>
      </c>
      <c r="I793" s="2">
        <v>44896</v>
      </c>
      <c r="J793">
        <v>1001.69</v>
      </c>
      <c r="K793">
        <v>52.3</v>
      </c>
      <c r="L793" t="s">
        <v>16</v>
      </c>
      <c r="M793">
        <f t="shared" si="36"/>
        <v>0</v>
      </c>
      <c r="N793">
        <f t="shared" si="37"/>
        <v>1001.69</v>
      </c>
      <c r="O793">
        <f t="shared" si="38"/>
        <v>-1001.69</v>
      </c>
    </row>
    <row r="794" spans="1:15" x14ac:dyDescent="0.2">
      <c r="A794" t="s">
        <v>80</v>
      </c>
      <c r="B794">
        <v>60564</v>
      </c>
      <c r="C794" t="s">
        <v>13</v>
      </c>
      <c r="D794" t="s">
        <v>22</v>
      </c>
      <c r="E794" s="3">
        <v>44782</v>
      </c>
      <c r="F794" t="s">
        <v>36</v>
      </c>
      <c r="G794" s="2">
        <v>45068</v>
      </c>
      <c r="H794" t="s">
        <v>81</v>
      </c>
      <c r="I794" s="2">
        <v>44927</v>
      </c>
      <c r="J794">
        <v>847.94</v>
      </c>
      <c r="K794">
        <v>76.2</v>
      </c>
      <c r="L794" t="s">
        <v>20</v>
      </c>
      <c r="M794">
        <f t="shared" si="36"/>
        <v>847.94</v>
      </c>
      <c r="N794">
        <f t="shared" si="37"/>
        <v>0</v>
      </c>
      <c r="O794">
        <f t="shared" si="38"/>
        <v>847.94</v>
      </c>
    </row>
    <row r="795" spans="1:15" x14ac:dyDescent="0.2">
      <c r="A795" t="s">
        <v>82</v>
      </c>
      <c r="B795">
        <v>60565</v>
      </c>
      <c r="C795" t="s">
        <v>13</v>
      </c>
      <c r="D795" t="s">
        <v>22</v>
      </c>
      <c r="E795" s="3">
        <v>44692</v>
      </c>
      <c r="F795" t="s">
        <v>36</v>
      </c>
      <c r="G795" s="2">
        <v>44778</v>
      </c>
      <c r="H795" t="s">
        <v>83</v>
      </c>
      <c r="I795" s="2">
        <v>44927</v>
      </c>
      <c r="J795">
        <v>740.94</v>
      </c>
      <c r="K795">
        <v>76.2</v>
      </c>
      <c r="L795" t="s">
        <v>20</v>
      </c>
      <c r="M795">
        <f t="shared" si="36"/>
        <v>0</v>
      </c>
      <c r="N795">
        <f t="shared" si="37"/>
        <v>740.94</v>
      </c>
      <c r="O795">
        <f t="shared" si="38"/>
        <v>-740.94</v>
      </c>
    </row>
    <row r="796" spans="1:15" x14ac:dyDescent="0.2">
      <c r="A796" t="s">
        <v>80</v>
      </c>
      <c r="B796">
        <v>60564</v>
      </c>
      <c r="C796" t="s">
        <v>13</v>
      </c>
      <c r="D796" t="s">
        <v>22</v>
      </c>
      <c r="E796" s="3">
        <v>44782</v>
      </c>
      <c r="F796" t="s">
        <v>36</v>
      </c>
      <c r="G796" s="2">
        <v>45068</v>
      </c>
      <c r="H796" t="s">
        <v>81</v>
      </c>
      <c r="I796" s="2">
        <v>44958</v>
      </c>
      <c r="J796">
        <v>898.61</v>
      </c>
      <c r="K796">
        <v>73.7</v>
      </c>
      <c r="L796" t="s">
        <v>20</v>
      </c>
      <c r="M796">
        <f t="shared" si="36"/>
        <v>898.61</v>
      </c>
      <c r="N796">
        <f t="shared" si="37"/>
        <v>0</v>
      </c>
      <c r="O796">
        <f t="shared" si="38"/>
        <v>898.61</v>
      </c>
    </row>
    <row r="797" spans="1:15" x14ac:dyDescent="0.2">
      <c r="A797" t="s">
        <v>82</v>
      </c>
      <c r="B797">
        <v>60565</v>
      </c>
      <c r="C797" t="s">
        <v>13</v>
      </c>
      <c r="D797" t="s">
        <v>22</v>
      </c>
      <c r="E797" s="3">
        <v>44692</v>
      </c>
      <c r="F797" t="s">
        <v>36</v>
      </c>
      <c r="G797" s="2">
        <v>44778</v>
      </c>
      <c r="H797" t="s">
        <v>83</v>
      </c>
      <c r="I797" s="2">
        <v>44958</v>
      </c>
      <c r="J797">
        <v>763.8</v>
      </c>
      <c r="K797">
        <v>73.7</v>
      </c>
      <c r="L797" t="s">
        <v>20</v>
      </c>
      <c r="M797">
        <f t="shared" si="36"/>
        <v>0</v>
      </c>
      <c r="N797">
        <f t="shared" si="37"/>
        <v>763.8</v>
      </c>
      <c r="O797">
        <f t="shared" si="38"/>
        <v>-763.8</v>
      </c>
    </row>
    <row r="798" spans="1:15" x14ac:dyDescent="0.2">
      <c r="A798" t="s">
        <v>80</v>
      </c>
      <c r="B798">
        <v>60564</v>
      </c>
      <c r="C798" t="s">
        <v>13</v>
      </c>
      <c r="D798" t="s">
        <v>22</v>
      </c>
      <c r="E798" s="3">
        <v>44782</v>
      </c>
      <c r="F798" t="s">
        <v>36</v>
      </c>
      <c r="G798" s="2">
        <v>45068</v>
      </c>
      <c r="H798" t="s">
        <v>81</v>
      </c>
      <c r="I798" s="2">
        <v>44986</v>
      </c>
      <c r="J798">
        <v>547.69000000000005</v>
      </c>
      <c r="K798">
        <v>52.8</v>
      </c>
      <c r="L798" t="s">
        <v>16</v>
      </c>
      <c r="M798">
        <f t="shared" si="36"/>
        <v>547.69000000000005</v>
      </c>
      <c r="N798">
        <f t="shared" si="37"/>
        <v>0</v>
      </c>
      <c r="O798">
        <f t="shared" si="38"/>
        <v>547.69000000000005</v>
      </c>
    </row>
    <row r="799" spans="1:15" x14ac:dyDescent="0.2">
      <c r="A799" t="s">
        <v>82</v>
      </c>
      <c r="B799">
        <v>60565</v>
      </c>
      <c r="C799" t="s">
        <v>13</v>
      </c>
      <c r="D799" t="s">
        <v>22</v>
      </c>
      <c r="E799" s="3">
        <v>44692</v>
      </c>
      <c r="F799" t="s">
        <v>36</v>
      </c>
      <c r="G799" s="2">
        <v>44778</v>
      </c>
      <c r="H799" t="s">
        <v>83</v>
      </c>
      <c r="I799" s="2">
        <v>44986</v>
      </c>
      <c r="J799">
        <v>810.17</v>
      </c>
      <c r="K799">
        <v>52.8</v>
      </c>
      <c r="L799" t="s">
        <v>16</v>
      </c>
      <c r="M799">
        <f t="shared" si="36"/>
        <v>0</v>
      </c>
      <c r="N799">
        <f t="shared" si="37"/>
        <v>810.17</v>
      </c>
      <c r="O799">
        <f t="shared" si="38"/>
        <v>-810.17</v>
      </c>
    </row>
    <row r="800" spans="1:15" x14ac:dyDescent="0.2">
      <c r="A800" t="s">
        <v>80</v>
      </c>
      <c r="B800">
        <v>60564</v>
      </c>
      <c r="C800" t="s">
        <v>13</v>
      </c>
      <c r="D800" t="s">
        <v>22</v>
      </c>
      <c r="E800" s="3">
        <v>44782</v>
      </c>
      <c r="F800" t="s">
        <v>36</v>
      </c>
      <c r="G800" s="2">
        <v>45068</v>
      </c>
      <c r="H800" t="s">
        <v>81</v>
      </c>
      <c r="I800" s="2">
        <v>45017</v>
      </c>
      <c r="J800">
        <v>586.41</v>
      </c>
      <c r="K800">
        <v>103.1</v>
      </c>
      <c r="L800" t="s">
        <v>20</v>
      </c>
      <c r="M800">
        <f t="shared" si="36"/>
        <v>586.41</v>
      </c>
      <c r="N800">
        <f t="shared" si="37"/>
        <v>0</v>
      </c>
      <c r="O800">
        <f t="shared" si="38"/>
        <v>586.41</v>
      </c>
    </row>
    <row r="801" spans="1:15" x14ac:dyDescent="0.2">
      <c r="A801" t="s">
        <v>82</v>
      </c>
      <c r="B801">
        <v>60565</v>
      </c>
      <c r="C801" t="s">
        <v>13</v>
      </c>
      <c r="D801" t="s">
        <v>22</v>
      </c>
      <c r="E801" s="3">
        <v>44692</v>
      </c>
      <c r="F801" t="s">
        <v>36</v>
      </c>
      <c r="G801" s="2">
        <v>44778</v>
      </c>
      <c r="H801" t="s">
        <v>83</v>
      </c>
      <c r="I801" s="2">
        <v>45017</v>
      </c>
      <c r="J801">
        <v>706.36</v>
      </c>
      <c r="K801">
        <v>103.1</v>
      </c>
      <c r="L801" t="s">
        <v>20</v>
      </c>
      <c r="M801">
        <f t="shared" si="36"/>
        <v>0</v>
      </c>
      <c r="N801">
        <f t="shared" si="37"/>
        <v>706.36</v>
      </c>
      <c r="O801">
        <f t="shared" si="38"/>
        <v>-706.36</v>
      </c>
    </row>
    <row r="802" spans="1:15" x14ac:dyDescent="0.2">
      <c r="A802" t="s">
        <v>80</v>
      </c>
      <c r="B802">
        <v>60564</v>
      </c>
      <c r="C802" t="s">
        <v>13</v>
      </c>
      <c r="D802" t="s">
        <v>22</v>
      </c>
      <c r="E802" s="3">
        <v>44782</v>
      </c>
      <c r="F802" t="s">
        <v>36</v>
      </c>
      <c r="G802" s="2">
        <v>45068</v>
      </c>
      <c r="H802" t="s">
        <v>81</v>
      </c>
      <c r="I802" s="2">
        <v>45047</v>
      </c>
      <c r="J802">
        <v>722.6</v>
      </c>
      <c r="K802">
        <v>40.6</v>
      </c>
      <c r="L802" t="s">
        <v>16</v>
      </c>
      <c r="M802">
        <f t="shared" si="36"/>
        <v>722.6</v>
      </c>
      <c r="N802">
        <f t="shared" si="37"/>
        <v>0</v>
      </c>
      <c r="O802">
        <f t="shared" si="38"/>
        <v>722.6</v>
      </c>
    </row>
    <row r="803" spans="1:15" x14ac:dyDescent="0.2">
      <c r="A803" t="s">
        <v>82</v>
      </c>
      <c r="B803">
        <v>60565</v>
      </c>
      <c r="C803" t="s">
        <v>13</v>
      </c>
      <c r="D803" t="s">
        <v>22</v>
      </c>
      <c r="E803" s="3">
        <v>44692</v>
      </c>
      <c r="F803" t="s">
        <v>36</v>
      </c>
      <c r="G803" s="2">
        <v>44778</v>
      </c>
      <c r="H803" t="s">
        <v>83</v>
      </c>
      <c r="I803" s="2">
        <v>45047</v>
      </c>
      <c r="J803">
        <v>636.21</v>
      </c>
      <c r="K803">
        <v>40.6</v>
      </c>
      <c r="L803" t="s">
        <v>16</v>
      </c>
      <c r="M803">
        <f t="shared" si="36"/>
        <v>0</v>
      </c>
      <c r="N803">
        <f t="shared" si="37"/>
        <v>636.21</v>
      </c>
      <c r="O803">
        <f t="shared" si="38"/>
        <v>-636.21</v>
      </c>
    </row>
    <row r="804" spans="1:15" x14ac:dyDescent="0.2">
      <c r="A804" t="s">
        <v>80</v>
      </c>
      <c r="B804">
        <v>60564</v>
      </c>
      <c r="C804" t="s">
        <v>13</v>
      </c>
      <c r="D804" t="s">
        <v>22</v>
      </c>
      <c r="E804" s="3">
        <v>44782</v>
      </c>
      <c r="F804" t="s">
        <v>36</v>
      </c>
      <c r="G804" s="2">
        <v>45068</v>
      </c>
      <c r="H804" t="s">
        <v>81</v>
      </c>
      <c r="I804" s="2">
        <v>45078</v>
      </c>
      <c r="J804">
        <v>783.97</v>
      </c>
      <c r="K804">
        <v>76</v>
      </c>
      <c r="L804" t="s">
        <v>20</v>
      </c>
      <c r="M804">
        <f t="shared" si="36"/>
        <v>0</v>
      </c>
      <c r="N804">
        <f t="shared" si="37"/>
        <v>783.97</v>
      </c>
      <c r="O804">
        <f t="shared" si="38"/>
        <v>-783.97</v>
      </c>
    </row>
    <row r="805" spans="1:15" x14ac:dyDescent="0.2">
      <c r="A805" t="s">
        <v>82</v>
      </c>
      <c r="B805">
        <v>60565</v>
      </c>
      <c r="C805" t="s">
        <v>13</v>
      </c>
      <c r="D805" t="s">
        <v>22</v>
      </c>
      <c r="E805" s="3">
        <v>44692</v>
      </c>
      <c r="F805" t="s">
        <v>36</v>
      </c>
      <c r="G805" s="2">
        <v>44778</v>
      </c>
      <c r="H805" t="s">
        <v>83</v>
      </c>
      <c r="I805" s="2">
        <v>45078</v>
      </c>
      <c r="J805">
        <v>652.59</v>
      </c>
      <c r="K805">
        <v>76</v>
      </c>
      <c r="L805" t="s">
        <v>20</v>
      </c>
      <c r="M805">
        <f t="shared" si="36"/>
        <v>0</v>
      </c>
      <c r="N805">
        <f t="shared" si="37"/>
        <v>652.59</v>
      </c>
      <c r="O805">
        <f t="shared" si="38"/>
        <v>-652.59</v>
      </c>
    </row>
    <row r="806" spans="1:15" x14ac:dyDescent="0.2">
      <c r="A806" t="s">
        <v>80</v>
      </c>
      <c r="B806">
        <v>60564</v>
      </c>
      <c r="C806" t="s">
        <v>13</v>
      </c>
      <c r="D806" t="s">
        <v>22</v>
      </c>
      <c r="E806" s="3">
        <v>44782</v>
      </c>
      <c r="F806" t="s">
        <v>36</v>
      </c>
      <c r="G806" s="2">
        <v>45068</v>
      </c>
      <c r="H806" t="s">
        <v>81</v>
      </c>
      <c r="I806" s="2">
        <v>45108</v>
      </c>
      <c r="J806">
        <v>698.88</v>
      </c>
      <c r="K806">
        <v>38.9</v>
      </c>
      <c r="L806" t="s">
        <v>19</v>
      </c>
      <c r="M806">
        <f t="shared" si="36"/>
        <v>0</v>
      </c>
      <c r="N806">
        <f t="shared" si="37"/>
        <v>698.88</v>
      </c>
      <c r="O806">
        <f t="shared" si="38"/>
        <v>-698.88</v>
      </c>
    </row>
    <row r="807" spans="1:15" x14ac:dyDescent="0.2">
      <c r="A807" t="s">
        <v>82</v>
      </c>
      <c r="B807">
        <v>60565</v>
      </c>
      <c r="C807" t="s">
        <v>13</v>
      </c>
      <c r="D807" t="s">
        <v>22</v>
      </c>
      <c r="E807" s="3">
        <v>44692</v>
      </c>
      <c r="F807" t="s">
        <v>36</v>
      </c>
      <c r="G807" s="2">
        <v>44778</v>
      </c>
      <c r="H807" t="s">
        <v>83</v>
      </c>
      <c r="I807" s="2">
        <v>45108</v>
      </c>
      <c r="J807">
        <v>653.54999999999995</v>
      </c>
      <c r="K807">
        <v>38.9</v>
      </c>
      <c r="L807" t="s">
        <v>19</v>
      </c>
      <c r="M807">
        <f t="shared" si="36"/>
        <v>0</v>
      </c>
      <c r="N807">
        <f t="shared" si="37"/>
        <v>653.54999999999995</v>
      </c>
      <c r="O807">
        <f t="shared" si="38"/>
        <v>-653.54999999999995</v>
      </c>
    </row>
    <row r="808" spans="1:15" x14ac:dyDescent="0.2">
      <c r="A808" t="s">
        <v>80</v>
      </c>
      <c r="B808">
        <v>60564</v>
      </c>
      <c r="C808" t="s">
        <v>13</v>
      </c>
      <c r="D808" t="s">
        <v>22</v>
      </c>
      <c r="E808" s="3">
        <v>44782</v>
      </c>
      <c r="F808" t="s">
        <v>36</v>
      </c>
      <c r="G808" s="2">
        <v>45068</v>
      </c>
      <c r="H808" t="s">
        <v>81</v>
      </c>
      <c r="I808" s="2">
        <v>45139</v>
      </c>
      <c r="J808">
        <v>536.20000000000005</v>
      </c>
      <c r="K808">
        <v>80</v>
      </c>
      <c r="L808" t="s">
        <v>20</v>
      </c>
      <c r="M808">
        <f t="shared" si="36"/>
        <v>0</v>
      </c>
      <c r="N808">
        <f t="shared" si="37"/>
        <v>536.20000000000005</v>
      </c>
      <c r="O808">
        <f t="shared" si="38"/>
        <v>-536.20000000000005</v>
      </c>
    </row>
    <row r="809" spans="1:15" x14ac:dyDescent="0.2">
      <c r="A809" t="s">
        <v>82</v>
      </c>
      <c r="B809">
        <v>60565</v>
      </c>
      <c r="C809" t="s">
        <v>13</v>
      </c>
      <c r="D809" t="s">
        <v>22</v>
      </c>
      <c r="E809" s="3">
        <v>44692</v>
      </c>
      <c r="F809" t="s">
        <v>36</v>
      </c>
      <c r="G809" s="2">
        <v>44778</v>
      </c>
      <c r="H809" t="s">
        <v>83</v>
      </c>
      <c r="I809" s="2">
        <v>45139</v>
      </c>
      <c r="J809">
        <v>604.97</v>
      </c>
      <c r="K809">
        <v>80</v>
      </c>
      <c r="L809" t="s">
        <v>20</v>
      </c>
      <c r="M809">
        <f t="shared" si="36"/>
        <v>0</v>
      </c>
      <c r="N809">
        <f t="shared" si="37"/>
        <v>604.97</v>
      </c>
      <c r="O809">
        <f t="shared" si="38"/>
        <v>-604.97</v>
      </c>
    </row>
    <row r="810" spans="1:15" x14ac:dyDescent="0.2">
      <c r="A810" t="s">
        <v>80</v>
      </c>
      <c r="B810">
        <v>60564</v>
      </c>
      <c r="C810" t="s">
        <v>13</v>
      </c>
      <c r="D810" t="s">
        <v>22</v>
      </c>
      <c r="E810" s="3">
        <v>44782</v>
      </c>
      <c r="F810" t="s">
        <v>36</v>
      </c>
      <c r="G810" s="2">
        <v>45068</v>
      </c>
      <c r="H810" t="s">
        <v>81</v>
      </c>
      <c r="I810" s="2">
        <v>45170</v>
      </c>
      <c r="J810">
        <v>749.66</v>
      </c>
      <c r="K810">
        <v>84.9</v>
      </c>
      <c r="L810" t="s">
        <v>20</v>
      </c>
      <c r="M810">
        <f t="shared" si="36"/>
        <v>0</v>
      </c>
      <c r="N810">
        <f t="shared" si="37"/>
        <v>749.66</v>
      </c>
      <c r="O810">
        <f t="shared" si="38"/>
        <v>-749.66</v>
      </c>
    </row>
    <row r="811" spans="1:15" x14ac:dyDescent="0.2">
      <c r="A811" t="s">
        <v>82</v>
      </c>
      <c r="B811">
        <v>60565</v>
      </c>
      <c r="C811" t="s">
        <v>13</v>
      </c>
      <c r="D811" t="s">
        <v>22</v>
      </c>
      <c r="E811" s="3">
        <v>44692</v>
      </c>
      <c r="F811" t="s">
        <v>36</v>
      </c>
      <c r="G811" s="2">
        <v>44778</v>
      </c>
      <c r="H811" t="s">
        <v>83</v>
      </c>
      <c r="I811" s="2">
        <v>45170</v>
      </c>
      <c r="J811">
        <v>731.78</v>
      </c>
      <c r="K811">
        <v>84.9</v>
      </c>
      <c r="L811" t="s">
        <v>20</v>
      </c>
      <c r="M811">
        <f t="shared" si="36"/>
        <v>0</v>
      </c>
      <c r="N811">
        <f t="shared" si="37"/>
        <v>731.78</v>
      </c>
      <c r="O811">
        <f t="shared" si="38"/>
        <v>-731.78</v>
      </c>
    </row>
    <row r="812" spans="1:15" x14ac:dyDescent="0.2">
      <c r="A812" t="s">
        <v>80</v>
      </c>
      <c r="B812">
        <v>60564</v>
      </c>
      <c r="C812" t="s">
        <v>13</v>
      </c>
      <c r="D812" t="s">
        <v>22</v>
      </c>
      <c r="E812" s="3">
        <v>44782</v>
      </c>
      <c r="F812" t="s">
        <v>36</v>
      </c>
      <c r="G812" s="2">
        <v>45068</v>
      </c>
      <c r="H812" t="s">
        <v>81</v>
      </c>
      <c r="I812" s="2">
        <v>45200</v>
      </c>
      <c r="J812">
        <v>680.57</v>
      </c>
      <c r="K812">
        <v>80.8</v>
      </c>
      <c r="L812" t="s">
        <v>20</v>
      </c>
      <c r="M812">
        <f t="shared" si="36"/>
        <v>0</v>
      </c>
      <c r="N812">
        <f t="shared" si="37"/>
        <v>680.57</v>
      </c>
      <c r="O812">
        <f t="shared" si="38"/>
        <v>-680.57</v>
      </c>
    </row>
    <row r="813" spans="1:15" x14ac:dyDescent="0.2">
      <c r="A813" t="s">
        <v>82</v>
      </c>
      <c r="B813">
        <v>60565</v>
      </c>
      <c r="C813" t="s">
        <v>13</v>
      </c>
      <c r="D813" t="s">
        <v>22</v>
      </c>
      <c r="E813" s="3">
        <v>44692</v>
      </c>
      <c r="F813" t="s">
        <v>36</v>
      </c>
      <c r="G813" s="2">
        <v>44778</v>
      </c>
      <c r="H813" t="s">
        <v>83</v>
      </c>
      <c r="I813" s="2">
        <v>45200</v>
      </c>
      <c r="J813">
        <v>637.04999999999995</v>
      </c>
      <c r="K813">
        <v>80.8</v>
      </c>
      <c r="L813" t="s">
        <v>20</v>
      </c>
      <c r="M813">
        <f t="shared" si="36"/>
        <v>0</v>
      </c>
      <c r="N813">
        <f t="shared" si="37"/>
        <v>637.04999999999995</v>
      </c>
      <c r="O813">
        <f t="shared" si="38"/>
        <v>-637.04999999999995</v>
      </c>
    </row>
    <row r="814" spans="1:15" x14ac:dyDescent="0.2">
      <c r="A814" t="s">
        <v>80</v>
      </c>
      <c r="B814">
        <v>60564</v>
      </c>
      <c r="C814" t="s">
        <v>13</v>
      </c>
      <c r="D814" t="s">
        <v>22</v>
      </c>
      <c r="E814" s="3">
        <v>44782</v>
      </c>
      <c r="F814" t="s">
        <v>36</v>
      </c>
      <c r="G814" s="2">
        <v>45068</v>
      </c>
      <c r="H814" t="s">
        <v>81</v>
      </c>
      <c r="I814" s="2">
        <v>45231</v>
      </c>
      <c r="J814">
        <v>679.38</v>
      </c>
      <c r="K814">
        <v>46.5</v>
      </c>
      <c r="L814" t="s">
        <v>16</v>
      </c>
      <c r="M814">
        <f t="shared" si="36"/>
        <v>0</v>
      </c>
      <c r="N814">
        <f t="shared" si="37"/>
        <v>679.38</v>
      </c>
      <c r="O814">
        <f t="shared" si="38"/>
        <v>-679.38</v>
      </c>
    </row>
    <row r="815" spans="1:15" x14ac:dyDescent="0.2">
      <c r="A815" t="s">
        <v>82</v>
      </c>
      <c r="B815">
        <v>60565</v>
      </c>
      <c r="C815" t="s">
        <v>13</v>
      </c>
      <c r="D815" t="s">
        <v>22</v>
      </c>
      <c r="E815" s="3">
        <v>44692</v>
      </c>
      <c r="F815" t="s">
        <v>36</v>
      </c>
      <c r="G815" s="2">
        <v>44778</v>
      </c>
      <c r="H815" t="s">
        <v>83</v>
      </c>
      <c r="I815" s="2">
        <v>45231</v>
      </c>
      <c r="J815">
        <v>719.49</v>
      </c>
      <c r="K815">
        <v>46.5</v>
      </c>
      <c r="L815" t="s">
        <v>16</v>
      </c>
      <c r="M815">
        <f t="shared" si="36"/>
        <v>0</v>
      </c>
      <c r="N815">
        <f t="shared" si="37"/>
        <v>719.49</v>
      </c>
      <c r="O815">
        <f t="shared" si="38"/>
        <v>-719.49</v>
      </c>
    </row>
    <row r="816" spans="1:15" x14ac:dyDescent="0.2">
      <c r="A816" t="s">
        <v>80</v>
      </c>
      <c r="B816">
        <v>60564</v>
      </c>
      <c r="C816" t="s">
        <v>13</v>
      </c>
      <c r="D816" t="s">
        <v>22</v>
      </c>
      <c r="E816" s="3">
        <v>44782</v>
      </c>
      <c r="F816" t="s">
        <v>36</v>
      </c>
      <c r="G816" s="2">
        <v>45068</v>
      </c>
      <c r="H816" t="s">
        <v>81</v>
      </c>
      <c r="I816" s="2">
        <v>45261</v>
      </c>
      <c r="J816">
        <v>472.2</v>
      </c>
      <c r="K816">
        <v>29.2</v>
      </c>
      <c r="L816" t="s">
        <v>19</v>
      </c>
      <c r="M816">
        <f t="shared" si="36"/>
        <v>0</v>
      </c>
      <c r="N816">
        <f t="shared" si="37"/>
        <v>472.2</v>
      </c>
      <c r="O816">
        <f t="shared" si="38"/>
        <v>-472.2</v>
      </c>
    </row>
    <row r="817" spans="1:15" x14ac:dyDescent="0.2">
      <c r="A817" t="s">
        <v>82</v>
      </c>
      <c r="B817">
        <v>60565</v>
      </c>
      <c r="C817" t="s">
        <v>13</v>
      </c>
      <c r="D817" t="s">
        <v>22</v>
      </c>
      <c r="E817" s="3">
        <v>44692</v>
      </c>
      <c r="F817" t="s">
        <v>36</v>
      </c>
      <c r="G817" s="2">
        <v>44778</v>
      </c>
      <c r="H817" t="s">
        <v>83</v>
      </c>
      <c r="I817" s="2">
        <v>45261</v>
      </c>
      <c r="J817">
        <v>684.13</v>
      </c>
      <c r="K817">
        <v>29.2</v>
      </c>
      <c r="L817" t="s">
        <v>19</v>
      </c>
      <c r="M817">
        <f t="shared" si="36"/>
        <v>0</v>
      </c>
      <c r="N817">
        <f t="shared" si="37"/>
        <v>684.13</v>
      </c>
      <c r="O817">
        <f t="shared" si="38"/>
        <v>-684.13</v>
      </c>
    </row>
    <row r="818" spans="1:15" x14ac:dyDescent="0.2">
      <c r="A818" t="s">
        <v>84</v>
      </c>
      <c r="B818">
        <v>60564</v>
      </c>
      <c r="C818" t="s">
        <v>13</v>
      </c>
      <c r="D818" t="s">
        <v>22</v>
      </c>
      <c r="E818" s="3">
        <v>44623</v>
      </c>
      <c r="F818" t="s">
        <v>39</v>
      </c>
      <c r="G818" s="2">
        <v>44840</v>
      </c>
      <c r="H818" t="s">
        <v>85</v>
      </c>
      <c r="I818" s="2">
        <v>44562</v>
      </c>
      <c r="J818">
        <v>728.31</v>
      </c>
      <c r="K818">
        <v>43</v>
      </c>
      <c r="L818" t="s">
        <v>16</v>
      </c>
      <c r="M818">
        <f t="shared" si="36"/>
        <v>728.31</v>
      </c>
      <c r="N818">
        <f t="shared" si="37"/>
        <v>0</v>
      </c>
      <c r="O818">
        <f t="shared" si="38"/>
        <v>728.31</v>
      </c>
    </row>
    <row r="819" spans="1:15" x14ac:dyDescent="0.2">
      <c r="A819" t="s">
        <v>84</v>
      </c>
      <c r="B819">
        <v>60564</v>
      </c>
      <c r="C819" t="s">
        <v>13</v>
      </c>
      <c r="D819" t="s">
        <v>22</v>
      </c>
      <c r="E819" s="3">
        <v>44623</v>
      </c>
      <c r="F819" t="s">
        <v>39</v>
      </c>
      <c r="G819" s="2">
        <v>44840</v>
      </c>
      <c r="H819" t="s">
        <v>85</v>
      </c>
      <c r="I819" s="2">
        <v>44593</v>
      </c>
      <c r="J819">
        <v>955.87</v>
      </c>
      <c r="K819">
        <v>26.4</v>
      </c>
      <c r="L819" t="s">
        <v>19</v>
      </c>
      <c r="M819">
        <f t="shared" si="36"/>
        <v>955.87</v>
      </c>
      <c r="N819">
        <f t="shared" si="37"/>
        <v>0</v>
      </c>
      <c r="O819">
        <f t="shared" si="38"/>
        <v>955.87</v>
      </c>
    </row>
    <row r="820" spans="1:15" x14ac:dyDescent="0.2">
      <c r="A820" t="s">
        <v>84</v>
      </c>
      <c r="B820">
        <v>60564</v>
      </c>
      <c r="C820" t="s">
        <v>13</v>
      </c>
      <c r="D820" t="s">
        <v>22</v>
      </c>
      <c r="E820" s="3">
        <v>44623</v>
      </c>
      <c r="F820" t="s">
        <v>39</v>
      </c>
      <c r="G820" s="2">
        <v>44840</v>
      </c>
      <c r="H820" t="s">
        <v>85</v>
      </c>
      <c r="I820" s="2">
        <v>44621</v>
      </c>
      <c r="J820">
        <v>694.14</v>
      </c>
      <c r="K820">
        <v>29.5</v>
      </c>
      <c r="L820" t="s">
        <v>19</v>
      </c>
      <c r="M820">
        <f t="shared" si="36"/>
        <v>694.14</v>
      </c>
      <c r="N820">
        <f t="shared" si="37"/>
        <v>0</v>
      </c>
      <c r="O820">
        <f t="shared" si="38"/>
        <v>694.14</v>
      </c>
    </row>
    <row r="821" spans="1:15" x14ac:dyDescent="0.2">
      <c r="A821" t="s">
        <v>84</v>
      </c>
      <c r="B821">
        <v>60564</v>
      </c>
      <c r="C821" t="s">
        <v>13</v>
      </c>
      <c r="D821" t="s">
        <v>22</v>
      </c>
      <c r="E821" s="3">
        <v>44623</v>
      </c>
      <c r="F821" t="s">
        <v>39</v>
      </c>
      <c r="G821" s="2">
        <v>44840</v>
      </c>
      <c r="H821" t="s">
        <v>85</v>
      </c>
      <c r="I821" s="2">
        <v>44652</v>
      </c>
      <c r="J821">
        <v>806.32</v>
      </c>
      <c r="K821">
        <v>50.8</v>
      </c>
      <c r="L821" t="s">
        <v>16</v>
      </c>
      <c r="M821">
        <f t="shared" si="36"/>
        <v>806.32</v>
      </c>
      <c r="N821">
        <f t="shared" si="37"/>
        <v>0</v>
      </c>
      <c r="O821">
        <f t="shared" si="38"/>
        <v>806.32</v>
      </c>
    </row>
    <row r="822" spans="1:15" x14ac:dyDescent="0.2">
      <c r="A822" t="s">
        <v>84</v>
      </c>
      <c r="B822">
        <v>60564</v>
      </c>
      <c r="C822" t="s">
        <v>13</v>
      </c>
      <c r="D822" t="s">
        <v>22</v>
      </c>
      <c r="E822" s="3">
        <v>44623</v>
      </c>
      <c r="F822" t="s">
        <v>39</v>
      </c>
      <c r="G822" s="2">
        <v>44840</v>
      </c>
      <c r="H822" t="s">
        <v>85</v>
      </c>
      <c r="I822" s="2">
        <v>44682</v>
      </c>
      <c r="J822">
        <v>832.93</v>
      </c>
      <c r="K822">
        <v>46.3</v>
      </c>
      <c r="L822" t="s">
        <v>16</v>
      </c>
      <c r="M822">
        <f t="shared" si="36"/>
        <v>832.93</v>
      </c>
      <c r="N822">
        <f t="shared" si="37"/>
        <v>0</v>
      </c>
      <c r="O822">
        <f t="shared" si="38"/>
        <v>832.93</v>
      </c>
    </row>
    <row r="823" spans="1:15" x14ac:dyDescent="0.2">
      <c r="A823" t="s">
        <v>84</v>
      </c>
      <c r="B823">
        <v>60564</v>
      </c>
      <c r="C823" t="s">
        <v>13</v>
      </c>
      <c r="D823" t="s">
        <v>22</v>
      </c>
      <c r="E823" s="3">
        <v>44623</v>
      </c>
      <c r="F823" t="s">
        <v>39</v>
      </c>
      <c r="G823" s="2">
        <v>44840</v>
      </c>
      <c r="H823" t="s">
        <v>85</v>
      </c>
      <c r="I823" s="2">
        <v>44713</v>
      </c>
      <c r="J823">
        <v>839.48</v>
      </c>
      <c r="K823">
        <v>61.1</v>
      </c>
      <c r="L823" t="s">
        <v>16</v>
      </c>
      <c r="M823">
        <f t="shared" si="36"/>
        <v>839.48</v>
      </c>
      <c r="N823">
        <f t="shared" si="37"/>
        <v>0</v>
      </c>
      <c r="O823">
        <f t="shared" si="38"/>
        <v>839.48</v>
      </c>
    </row>
    <row r="824" spans="1:15" x14ac:dyDescent="0.2">
      <c r="A824" t="s">
        <v>84</v>
      </c>
      <c r="B824">
        <v>60564</v>
      </c>
      <c r="C824" t="s">
        <v>13</v>
      </c>
      <c r="D824" t="s">
        <v>22</v>
      </c>
      <c r="E824" s="3">
        <v>44623</v>
      </c>
      <c r="F824" t="s">
        <v>39</v>
      </c>
      <c r="G824" s="2">
        <v>44840</v>
      </c>
      <c r="H824" t="s">
        <v>85</v>
      </c>
      <c r="I824" s="2">
        <v>44743</v>
      </c>
      <c r="J824">
        <v>741.88</v>
      </c>
      <c r="K824">
        <v>27.4</v>
      </c>
      <c r="L824" t="s">
        <v>19</v>
      </c>
      <c r="M824">
        <f t="shared" si="36"/>
        <v>741.88</v>
      </c>
      <c r="N824">
        <f t="shared" si="37"/>
        <v>0</v>
      </c>
      <c r="O824">
        <f t="shared" si="38"/>
        <v>741.88</v>
      </c>
    </row>
    <row r="825" spans="1:15" x14ac:dyDescent="0.2">
      <c r="A825" t="s">
        <v>84</v>
      </c>
      <c r="B825">
        <v>60564</v>
      </c>
      <c r="C825" t="s">
        <v>13</v>
      </c>
      <c r="D825" t="s">
        <v>22</v>
      </c>
      <c r="E825" s="3">
        <v>44623</v>
      </c>
      <c r="F825" t="s">
        <v>39</v>
      </c>
      <c r="G825" s="2">
        <v>44840</v>
      </c>
      <c r="H825" t="s">
        <v>85</v>
      </c>
      <c r="I825" s="2">
        <v>44774</v>
      </c>
      <c r="J825">
        <v>710.45</v>
      </c>
      <c r="K825">
        <v>54.2</v>
      </c>
      <c r="L825" t="s">
        <v>16</v>
      </c>
      <c r="M825">
        <f t="shared" si="36"/>
        <v>710.45</v>
      </c>
      <c r="N825">
        <f t="shared" si="37"/>
        <v>0</v>
      </c>
      <c r="O825">
        <f t="shared" si="38"/>
        <v>710.45</v>
      </c>
    </row>
    <row r="826" spans="1:15" x14ac:dyDescent="0.2">
      <c r="A826" t="s">
        <v>84</v>
      </c>
      <c r="B826">
        <v>60564</v>
      </c>
      <c r="C826" t="s">
        <v>13</v>
      </c>
      <c r="D826" t="s">
        <v>22</v>
      </c>
      <c r="E826" s="3">
        <v>44623</v>
      </c>
      <c r="F826" t="s">
        <v>39</v>
      </c>
      <c r="G826" s="2">
        <v>44840</v>
      </c>
      <c r="H826" t="s">
        <v>85</v>
      </c>
      <c r="I826" s="2">
        <v>44805</v>
      </c>
      <c r="J826">
        <v>743.32</v>
      </c>
      <c r="K826">
        <v>41.9</v>
      </c>
      <c r="L826" t="s">
        <v>16</v>
      </c>
      <c r="M826">
        <f t="shared" si="36"/>
        <v>743.32</v>
      </c>
      <c r="N826">
        <f t="shared" si="37"/>
        <v>0</v>
      </c>
      <c r="O826">
        <f t="shared" si="38"/>
        <v>743.32</v>
      </c>
    </row>
    <row r="827" spans="1:15" x14ac:dyDescent="0.2">
      <c r="A827" t="s">
        <v>84</v>
      </c>
      <c r="B827">
        <v>60564</v>
      </c>
      <c r="C827" t="s">
        <v>13</v>
      </c>
      <c r="D827" t="s">
        <v>22</v>
      </c>
      <c r="E827" s="3">
        <v>44623</v>
      </c>
      <c r="F827" t="s">
        <v>39</v>
      </c>
      <c r="G827" s="2">
        <v>44840</v>
      </c>
      <c r="H827" t="s">
        <v>85</v>
      </c>
      <c r="I827" s="2">
        <v>44835</v>
      </c>
      <c r="J827">
        <v>852.83</v>
      </c>
      <c r="K827">
        <v>74.099999999999994</v>
      </c>
      <c r="L827" t="s">
        <v>20</v>
      </c>
      <c r="M827">
        <f t="shared" si="36"/>
        <v>852.83</v>
      </c>
      <c r="N827">
        <f t="shared" si="37"/>
        <v>0</v>
      </c>
      <c r="O827">
        <f t="shared" si="38"/>
        <v>852.83</v>
      </c>
    </row>
    <row r="828" spans="1:15" x14ac:dyDescent="0.2">
      <c r="A828" t="s">
        <v>84</v>
      </c>
      <c r="B828">
        <v>60564</v>
      </c>
      <c r="C828" t="s">
        <v>13</v>
      </c>
      <c r="D828" t="s">
        <v>22</v>
      </c>
      <c r="E828" s="3">
        <v>44623</v>
      </c>
      <c r="F828" t="s">
        <v>39</v>
      </c>
      <c r="G828" s="2">
        <v>44840</v>
      </c>
      <c r="H828" t="s">
        <v>85</v>
      </c>
      <c r="I828" s="2">
        <v>44866</v>
      </c>
      <c r="J828">
        <v>785.62</v>
      </c>
      <c r="K828">
        <v>42.6</v>
      </c>
      <c r="L828" t="s">
        <v>16</v>
      </c>
      <c r="M828">
        <f t="shared" si="36"/>
        <v>0</v>
      </c>
      <c r="N828">
        <f t="shared" si="37"/>
        <v>785.62</v>
      </c>
      <c r="O828">
        <f t="shared" si="38"/>
        <v>-785.62</v>
      </c>
    </row>
    <row r="829" spans="1:15" x14ac:dyDescent="0.2">
      <c r="A829" t="s">
        <v>84</v>
      </c>
      <c r="B829">
        <v>60564</v>
      </c>
      <c r="C829" t="s">
        <v>13</v>
      </c>
      <c r="D829" t="s">
        <v>22</v>
      </c>
      <c r="E829" s="3">
        <v>44623</v>
      </c>
      <c r="F829" t="s">
        <v>39</v>
      </c>
      <c r="G829" s="2">
        <v>44840</v>
      </c>
      <c r="H829" t="s">
        <v>85</v>
      </c>
      <c r="I829" s="2">
        <v>44896</v>
      </c>
      <c r="J829">
        <v>879.62</v>
      </c>
      <c r="K829">
        <v>52.3</v>
      </c>
      <c r="L829" t="s">
        <v>16</v>
      </c>
      <c r="M829">
        <f t="shared" si="36"/>
        <v>0</v>
      </c>
      <c r="N829">
        <f t="shared" si="37"/>
        <v>879.62</v>
      </c>
      <c r="O829">
        <f t="shared" si="38"/>
        <v>-879.62</v>
      </c>
    </row>
    <row r="830" spans="1:15" x14ac:dyDescent="0.2">
      <c r="A830" t="s">
        <v>84</v>
      </c>
      <c r="B830">
        <v>60564</v>
      </c>
      <c r="C830" t="s">
        <v>13</v>
      </c>
      <c r="D830" t="s">
        <v>22</v>
      </c>
      <c r="E830" s="3">
        <v>44623</v>
      </c>
      <c r="F830" t="s">
        <v>39</v>
      </c>
      <c r="G830" s="2">
        <v>44840</v>
      </c>
      <c r="H830" t="s">
        <v>85</v>
      </c>
      <c r="I830" s="2">
        <v>44927</v>
      </c>
      <c r="J830">
        <v>747.7</v>
      </c>
      <c r="K830">
        <v>76.2</v>
      </c>
      <c r="L830" t="s">
        <v>20</v>
      </c>
      <c r="M830">
        <f t="shared" si="36"/>
        <v>0</v>
      </c>
      <c r="N830">
        <f t="shared" si="37"/>
        <v>747.7</v>
      </c>
      <c r="O830">
        <f t="shared" si="38"/>
        <v>-747.7</v>
      </c>
    </row>
    <row r="831" spans="1:15" x14ac:dyDescent="0.2">
      <c r="A831" t="s">
        <v>84</v>
      </c>
      <c r="B831">
        <v>60564</v>
      </c>
      <c r="C831" t="s">
        <v>13</v>
      </c>
      <c r="D831" t="s">
        <v>22</v>
      </c>
      <c r="E831" s="3">
        <v>44623</v>
      </c>
      <c r="F831" t="s">
        <v>39</v>
      </c>
      <c r="G831" s="2">
        <v>44840</v>
      </c>
      <c r="H831" t="s">
        <v>85</v>
      </c>
      <c r="I831" s="2">
        <v>44958</v>
      </c>
      <c r="J831">
        <v>472.31</v>
      </c>
      <c r="K831">
        <v>73.7</v>
      </c>
      <c r="L831" t="s">
        <v>20</v>
      </c>
      <c r="M831">
        <f t="shared" si="36"/>
        <v>0</v>
      </c>
      <c r="N831">
        <f t="shared" si="37"/>
        <v>472.31</v>
      </c>
      <c r="O831">
        <f t="shared" si="38"/>
        <v>-472.31</v>
      </c>
    </row>
    <row r="832" spans="1:15" x14ac:dyDescent="0.2">
      <c r="A832" t="s">
        <v>84</v>
      </c>
      <c r="B832">
        <v>60564</v>
      </c>
      <c r="C832" t="s">
        <v>13</v>
      </c>
      <c r="D832" t="s">
        <v>22</v>
      </c>
      <c r="E832" s="3">
        <v>44623</v>
      </c>
      <c r="F832" t="s">
        <v>39</v>
      </c>
      <c r="G832" s="2">
        <v>44840</v>
      </c>
      <c r="H832" t="s">
        <v>85</v>
      </c>
      <c r="I832" s="2">
        <v>44986</v>
      </c>
      <c r="J832">
        <v>724.75</v>
      </c>
      <c r="K832">
        <v>52.8</v>
      </c>
      <c r="L832" t="s">
        <v>16</v>
      </c>
      <c r="M832">
        <f t="shared" si="36"/>
        <v>0</v>
      </c>
      <c r="N832">
        <f t="shared" si="37"/>
        <v>724.75</v>
      </c>
      <c r="O832">
        <f t="shared" si="38"/>
        <v>-724.75</v>
      </c>
    </row>
    <row r="833" spans="1:15" x14ac:dyDescent="0.2">
      <c r="A833" t="s">
        <v>84</v>
      </c>
      <c r="B833">
        <v>60564</v>
      </c>
      <c r="C833" t="s">
        <v>13</v>
      </c>
      <c r="D833" t="s">
        <v>22</v>
      </c>
      <c r="E833" s="3">
        <v>44623</v>
      </c>
      <c r="F833" t="s">
        <v>39</v>
      </c>
      <c r="G833" s="2">
        <v>44840</v>
      </c>
      <c r="H833" t="s">
        <v>85</v>
      </c>
      <c r="I833" s="2">
        <v>45017</v>
      </c>
      <c r="J833">
        <v>925.05</v>
      </c>
      <c r="K833">
        <v>103.1</v>
      </c>
      <c r="L833" t="s">
        <v>20</v>
      </c>
      <c r="M833">
        <f t="shared" si="36"/>
        <v>0</v>
      </c>
      <c r="N833">
        <f t="shared" si="37"/>
        <v>925.05</v>
      </c>
      <c r="O833">
        <f t="shared" si="38"/>
        <v>-925.05</v>
      </c>
    </row>
    <row r="834" spans="1:15" x14ac:dyDescent="0.2">
      <c r="A834" t="s">
        <v>84</v>
      </c>
      <c r="B834">
        <v>60564</v>
      </c>
      <c r="C834" t="s">
        <v>13</v>
      </c>
      <c r="D834" t="s">
        <v>22</v>
      </c>
      <c r="E834" s="3">
        <v>44623</v>
      </c>
      <c r="F834" t="s">
        <v>39</v>
      </c>
      <c r="G834" s="2">
        <v>44840</v>
      </c>
      <c r="H834" t="s">
        <v>85</v>
      </c>
      <c r="I834" s="2">
        <v>45047</v>
      </c>
      <c r="J834">
        <v>832.53</v>
      </c>
      <c r="K834">
        <v>40.6</v>
      </c>
      <c r="L834" t="s">
        <v>16</v>
      </c>
      <c r="M834">
        <f t="shared" ref="M834:M897" si="39">SUMIFS(J834,I834, "&lt;" &amp;G834,I834,"&lt;&gt;",G834,"&lt;&gt;")</f>
        <v>0</v>
      </c>
      <c r="N834">
        <f t="shared" ref="N834:N897" si="40">SUMIFS(J834,I834, "&gt;=" &amp;G834,I834,"&lt;&gt;",G834,"&lt;&gt;")</f>
        <v>832.53</v>
      </c>
      <c r="O834">
        <f t="shared" ref="O834:O897" si="41">SUM(M834-N834)</f>
        <v>-832.53</v>
      </c>
    </row>
    <row r="835" spans="1:15" x14ac:dyDescent="0.2">
      <c r="A835" t="s">
        <v>84</v>
      </c>
      <c r="B835">
        <v>60564</v>
      </c>
      <c r="C835" t="s">
        <v>13</v>
      </c>
      <c r="D835" t="s">
        <v>22</v>
      </c>
      <c r="E835" s="3">
        <v>44623</v>
      </c>
      <c r="F835" t="s">
        <v>39</v>
      </c>
      <c r="G835" s="2">
        <v>44840</v>
      </c>
      <c r="H835" t="s">
        <v>85</v>
      </c>
      <c r="I835" s="2">
        <v>45078</v>
      </c>
      <c r="J835">
        <v>742.2</v>
      </c>
      <c r="K835">
        <v>76</v>
      </c>
      <c r="L835" t="s">
        <v>20</v>
      </c>
      <c r="M835">
        <f t="shared" si="39"/>
        <v>0</v>
      </c>
      <c r="N835">
        <f t="shared" si="40"/>
        <v>742.2</v>
      </c>
      <c r="O835">
        <f t="shared" si="41"/>
        <v>-742.2</v>
      </c>
    </row>
    <row r="836" spans="1:15" x14ac:dyDescent="0.2">
      <c r="A836" t="s">
        <v>84</v>
      </c>
      <c r="B836">
        <v>60564</v>
      </c>
      <c r="C836" t="s">
        <v>13</v>
      </c>
      <c r="D836" t="s">
        <v>22</v>
      </c>
      <c r="E836" s="3">
        <v>44623</v>
      </c>
      <c r="F836" t="s">
        <v>39</v>
      </c>
      <c r="G836" s="2">
        <v>44840</v>
      </c>
      <c r="H836" t="s">
        <v>85</v>
      </c>
      <c r="I836" s="2">
        <v>45108</v>
      </c>
      <c r="J836">
        <v>594.05999999999995</v>
      </c>
      <c r="K836">
        <v>38.9</v>
      </c>
      <c r="L836" t="s">
        <v>19</v>
      </c>
      <c r="M836">
        <f t="shared" si="39"/>
        <v>0</v>
      </c>
      <c r="N836">
        <f t="shared" si="40"/>
        <v>594.05999999999995</v>
      </c>
      <c r="O836">
        <f t="shared" si="41"/>
        <v>-594.05999999999995</v>
      </c>
    </row>
    <row r="837" spans="1:15" x14ac:dyDescent="0.2">
      <c r="A837" t="s">
        <v>84</v>
      </c>
      <c r="B837">
        <v>60564</v>
      </c>
      <c r="C837" t="s">
        <v>13</v>
      </c>
      <c r="D837" t="s">
        <v>22</v>
      </c>
      <c r="E837" s="3">
        <v>44623</v>
      </c>
      <c r="F837" t="s">
        <v>39</v>
      </c>
      <c r="G837" s="2">
        <v>44840</v>
      </c>
      <c r="H837" t="s">
        <v>85</v>
      </c>
      <c r="I837" s="2">
        <v>45139</v>
      </c>
      <c r="J837">
        <v>747.76</v>
      </c>
      <c r="K837">
        <v>80</v>
      </c>
      <c r="L837" t="s">
        <v>20</v>
      </c>
      <c r="M837">
        <f t="shared" si="39"/>
        <v>0</v>
      </c>
      <c r="N837">
        <f t="shared" si="40"/>
        <v>747.76</v>
      </c>
      <c r="O837">
        <f t="shared" si="41"/>
        <v>-747.76</v>
      </c>
    </row>
    <row r="838" spans="1:15" x14ac:dyDescent="0.2">
      <c r="A838" t="s">
        <v>84</v>
      </c>
      <c r="B838">
        <v>60564</v>
      </c>
      <c r="C838" t="s">
        <v>13</v>
      </c>
      <c r="D838" t="s">
        <v>22</v>
      </c>
      <c r="E838" s="3">
        <v>44623</v>
      </c>
      <c r="F838" t="s">
        <v>39</v>
      </c>
      <c r="G838" s="2">
        <v>44840</v>
      </c>
      <c r="H838" t="s">
        <v>85</v>
      </c>
      <c r="I838" s="2">
        <v>45170</v>
      </c>
      <c r="J838">
        <v>773.97</v>
      </c>
      <c r="K838">
        <v>84.9</v>
      </c>
      <c r="L838" t="s">
        <v>20</v>
      </c>
      <c r="M838">
        <f t="shared" si="39"/>
        <v>0</v>
      </c>
      <c r="N838">
        <f t="shared" si="40"/>
        <v>773.97</v>
      </c>
      <c r="O838">
        <f t="shared" si="41"/>
        <v>-773.97</v>
      </c>
    </row>
    <row r="839" spans="1:15" x14ac:dyDescent="0.2">
      <c r="A839" t="s">
        <v>84</v>
      </c>
      <c r="B839">
        <v>60564</v>
      </c>
      <c r="C839" t="s">
        <v>13</v>
      </c>
      <c r="D839" t="s">
        <v>22</v>
      </c>
      <c r="E839" s="3">
        <v>44623</v>
      </c>
      <c r="F839" t="s">
        <v>39</v>
      </c>
      <c r="G839" s="2">
        <v>44840</v>
      </c>
      <c r="H839" t="s">
        <v>85</v>
      </c>
      <c r="I839" s="2">
        <v>45200</v>
      </c>
      <c r="J839">
        <v>674.63</v>
      </c>
      <c r="K839">
        <v>80.8</v>
      </c>
      <c r="L839" t="s">
        <v>20</v>
      </c>
      <c r="M839">
        <f t="shared" si="39"/>
        <v>0</v>
      </c>
      <c r="N839">
        <f t="shared" si="40"/>
        <v>674.63</v>
      </c>
      <c r="O839">
        <f t="shared" si="41"/>
        <v>-674.63</v>
      </c>
    </row>
    <row r="840" spans="1:15" x14ac:dyDescent="0.2">
      <c r="A840" t="s">
        <v>84</v>
      </c>
      <c r="B840">
        <v>60564</v>
      </c>
      <c r="C840" t="s">
        <v>13</v>
      </c>
      <c r="D840" t="s">
        <v>22</v>
      </c>
      <c r="E840" s="3">
        <v>44623</v>
      </c>
      <c r="F840" t="s">
        <v>39</v>
      </c>
      <c r="G840" s="2">
        <v>44840</v>
      </c>
      <c r="H840" t="s">
        <v>85</v>
      </c>
      <c r="I840" s="2">
        <v>45231</v>
      </c>
      <c r="J840">
        <v>731.67</v>
      </c>
      <c r="K840">
        <v>46.5</v>
      </c>
      <c r="L840" t="s">
        <v>16</v>
      </c>
      <c r="M840">
        <f t="shared" si="39"/>
        <v>0</v>
      </c>
      <c r="N840">
        <f t="shared" si="40"/>
        <v>731.67</v>
      </c>
      <c r="O840">
        <f t="shared" si="41"/>
        <v>-731.67</v>
      </c>
    </row>
    <row r="841" spans="1:15" x14ac:dyDescent="0.2">
      <c r="A841" t="s">
        <v>84</v>
      </c>
      <c r="B841">
        <v>60564</v>
      </c>
      <c r="C841" t="s">
        <v>13</v>
      </c>
      <c r="D841" t="s">
        <v>22</v>
      </c>
      <c r="E841" s="3">
        <v>44623</v>
      </c>
      <c r="F841" t="s">
        <v>39</v>
      </c>
      <c r="G841" s="2">
        <v>44840</v>
      </c>
      <c r="H841" t="s">
        <v>85</v>
      </c>
      <c r="I841" s="2">
        <v>45261</v>
      </c>
      <c r="J841">
        <v>850.97</v>
      </c>
      <c r="K841">
        <v>29.2</v>
      </c>
      <c r="L841" t="s">
        <v>19</v>
      </c>
      <c r="M841">
        <f t="shared" si="39"/>
        <v>0</v>
      </c>
      <c r="N841">
        <f t="shared" si="40"/>
        <v>850.97</v>
      </c>
      <c r="O841">
        <f t="shared" si="41"/>
        <v>-850.97</v>
      </c>
    </row>
    <row r="842" spans="1:15" x14ac:dyDescent="0.2">
      <c r="A842" t="s">
        <v>86</v>
      </c>
      <c r="B842">
        <v>60565</v>
      </c>
      <c r="C842" t="s">
        <v>13</v>
      </c>
      <c r="D842" t="s">
        <v>22</v>
      </c>
      <c r="E842" s="3">
        <v>44636</v>
      </c>
      <c r="F842" t="s">
        <v>33</v>
      </c>
      <c r="G842" s="2">
        <v>44924</v>
      </c>
      <c r="H842" t="s">
        <v>87</v>
      </c>
      <c r="I842" s="2">
        <v>44562</v>
      </c>
      <c r="J842">
        <v>862.66</v>
      </c>
      <c r="K842">
        <v>43</v>
      </c>
      <c r="L842" t="s">
        <v>16</v>
      </c>
      <c r="M842">
        <f t="shared" si="39"/>
        <v>862.66</v>
      </c>
      <c r="N842">
        <f t="shared" si="40"/>
        <v>0</v>
      </c>
      <c r="O842">
        <f t="shared" si="41"/>
        <v>862.66</v>
      </c>
    </row>
    <row r="843" spans="1:15" x14ac:dyDescent="0.2">
      <c r="A843" t="s">
        <v>88</v>
      </c>
      <c r="B843">
        <v>60540</v>
      </c>
      <c r="C843" t="s">
        <v>13</v>
      </c>
      <c r="D843" t="s">
        <v>22</v>
      </c>
      <c r="E843" s="3">
        <v>44906</v>
      </c>
      <c r="F843" t="s">
        <v>33</v>
      </c>
      <c r="G843" s="2">
        <v>44719</v>
      </c>
      <c r="H843" t="s">
        <v>89</v>
      </c>
      <c r="I843" s="2">
        <v>44562</v>
      </c>
      <c r="J843">
        <v>977.24</v>
      </c>
      <c r="K843">
        <v>43</v>
      </c>
      <c r="L843" t="s">
        <v>16</v>
      </c>
      <c r="M843">
        <f t="shared" si="39"/>
        <v>977.24</v>
      </c>
      <c r="N843">
        <f t="shared" si="40"/>
        <v>0</v>
      </c>
      <c r="O843">
        <f t="shared" si="41"/>
        <v>977.24</v>
      </c>
    </row>
    <row r="844" spans="1:15" x14ac:dyDescent="0.2">
      <c r="A844" t="s">
        <v>90</v>
      </c>
      <c r="B844">
        <v>60540</v>
      </c>
      <c r="C844" t="s">
        <v>13</v>
      </c>
      <c r="D844" t="s">
        <v>22</v>
      </c>
      <c r="E844" s="3">
        <v>44661</v>
      </c>
      <c r="F844" t="s">
        <v>33</v>
      </c>
      <c r="G844" s="2">
        <v>44893</v>
      </c>
      <c r="H844" t="s">
        <v>91</v>
      </c>
      <c r="I844" s="2">
        <v>44562</v>
      </c>
      <c r="J844">
        <v>730.46</v>
      </c>
      <c r="K844">
        <v>43</v>
      </c>
      <c r="L844" t="s">
        <v>16</v>
      </c>
      <c r="M844">
        <f t="shared" si="39"/>
        <v>730.46</v>
      </c>
      <c r="N844">
        <f t="shared" si="40"/>
        <v>0</v>
      </c>
      <c r="O844">
        <f t="shared" si="41"/>
        <v>730.46</v>
      </c>
    </row>
    <row r="845" spans="1:15" x14ac:dyDescent="0.2">
      <c r="A845" t="s">
        <v>86</v>
      </c>
      <c r="B845">
        <v>60565</v>
      </c>
      <c r="C845" t="s">
        <v>13</v>
      </c>
      <c r="D845" t="s">
        <v>22</v>
      </c>
      <c r="E845" s="3">
        <v>44636</v>
      </c>
      <c r="F845" t="s">
        <v>33</v>
      </c>
      <c r="G845" s="2">
        <v>44924</v>
      </c>
      <c r="H845" t="s">
        <v>87</v>
      </c>
      <c r="I845" s="2">
        <v>44593</v>
      </c>
      <c r="J845">
        <v>698.74</v>
      </c>
      <c r="K845">
        <v>26.4</v>
      </c>
      <c r="L845" t="s">
        <v>19</v>
      </c>
      <c r="M845">
        <f t="shared" si="39"/>
        <v>698.74</v>
      </c>
      <c r="N845">
        <f t="shared" si="40"/>
        <v>0</v>
      </c>
      <c r="O845">
        <f t="shared" si="41"/>
        <v>698.74</v>
      </c>
    </row>
    <row r="846" spans="1:15" x14ac:dyDescent="0.2">
      <c r="A846" t="s">
        <v>88</v>
      </c>
      <c r="B846">
        <v>60540</v>
      </c>
      <c r="C846" t="s">
        <v>13</v>
      </c>
      <c r="D846" t="s">
        <v>22</v>
      </c>
      <c r="E846" s="3">
        <v>44906</v>
      </c>
      <c r="F846" t="s">
        <v>33</v>
      </c>
      <c r="G846" s="2">
        <v>44719</v>
      </c>
      <c r="H846" t="s">
        <v>89</v>
      </c>
      <c r="I846" s="2">
        <v>44593</v>
      </c>
      <c r="J846">
        <v>760.16</v>
      </c>
      <c r="K846">
        <v>26.4</v>
      </c>
      <c r="L846" t="s">
        <v>19</v>
      </c>
      <c r="M846">
        <f t="shared" si="39"/>
        <v>760.16</v>
      </c>
      <c r="N846">
        <f t="shared" si="40"/>
        <v>0</v>
      </c>
      <c r="O846">
        <f t="shared" si="41"/>
        <v>760.16</v>
      </c>
    </row>
    <row r="847" spans="1:15" x14ac:dyDescent="0.2">
      <c r="A847" t="s">
        <v>90</v>
      </c>
      <c r="B847">
        <v>60540</v>
      </c>
      <c r="C847" t="s">
        <v>13</v>
      </c>
      <c r="D847" t="s">
        <v>22</v>
      </c>
      <c r="E847" s="3">
        <v>44661</v>
      </c>
      <c r="F847" t="s">
        <v>33</v>
      </c>
      <c r="G847" s="2">
        <v>44893</v>
      </c>
      <c r="H847" t="s">
        <v>91</v>
      </c>
      <c r="I847" s="2">
        <v>44593</v>
      </c>
      <c r="J847">
        <v>795.84</v>
      </c>
      <c r="K847">
        <v>26.4</v>
      </c>
      <c r="L847" t="s">
        <v>19</v>
      </c>
      <c r="M847">
        <f t="shared" si="39"/>
        <v>795.84</v>
      </c>
      <c r="N847">
        <f t="shared" si="40"/>
        <v>0</v>
      </c>
      <c r="O847">
        <f t="shared" si="41"/>
        <v>795.84</v>
      </c>
    </row>
    <row r="848" spans="1:15" x14ac:dyDescent="0.2">
      <c r="A848" t="s">
        <v>86</v>
      </c>
      <c r="B848">
        <v>60565</v>
      </c>
      <c r="C848" t="s">
        <v>13</v>
      </c>
      <c r="D848" t="s">
        <v>22</v>
      </c>
      <c r="E848" s="3">
        <v>44636</v>
      </c>
      <c r="F848" t="s">
        <v>33</v>
      </c>
      <c r="G848" s="2">
        <v>44924</v>
      </c>
      <c r="H848" t="s">
        <v>87</v>
      </c>
      <c r="I848" s="2">
        <v>44621</v>
      </c>
      <c r="J848">
        <v>1038.99</v>
      </c>
      <c r="K848">
        <v>29.5</v>
      </c>
      <c r="L848" t="s">
        <v>19</v>
      </c>
      <c r="M848">
        <f t="shared" si="39"/>
        <v>1038.99</v>
      </c>
      <c r="N848">
        <f t="shared" si="40"/>
        <v>0</v>
      </c>
      <c r="O848">
        <f t="shared" si="41"/>
        <v>1038.99</v>
      </c>
    </row>
    <row r="849" spans="1:15" x14ac:dyDescent="0.2">
      <c r="A849" t="s">
        <v>88</v>
      </c>
      <c r="B849">
        <v>60540</v>
      </c>
      <c r="C849" t="s">
        <v>13</v>
      </c>
      <c r="D849" t="s">
        <v>22</v>
      </c>
      <c r="E849" s="3">
        <v>44906</v>
      </c>
      <c r="F849" t="s">
        <v>33</v>
      </c>
      <c r="G849" s="2">
        <v>44719</v>
      </c>
      <c r="H849" t="s">
        <v>89</v>
      </c>
      <c r="I849" s="2">
        <v>44621</v>
      </c>
      <c r="J849">
        <v>825.02</v>
      </c>
      <c r="K849">
        <v>29.5</v>
      </c>
      <c r="L849" t="s">
        <v>19</v>
      </c>
      <c r="M849">
        <f t="shared" si="39"/>
        <v>825.02</v>
      </c>
      <c r="N849">
        <f t="shared" si="40"/>
        <v>0</v>
      </c>
      <c r="O849">
        <f t="shared" si="41"/>
        <v>825.02</v>
      </c>
    </row>
    <row r="850" spans="1:15" x14ac:dyDescent="0.2">
      <c r="A850" t="s">
        <v>90</v>
      </c>
      <c r="B850">
        <v>60540</v>
      </c>
      <c r="C850" t="s">
        <v>13</v>
      </c>
      <c r="D850" t="s">
        <v>22</v>
      </c>
      <c r="E850" s="3">
        <v>44661</v>
      </c>
      <c r="F850" t="s">
        <v>33</v>
      </c>
      <c r="G850" s="2">
        <v>44893</v>
      </c>
      <c r="H850" t="s">
        <v>91</v>
      </c>
      <c r="I850" s="2">
        <v>44621</v>
      </c>
      <c r="J850">
        <v>1002.04</v>
      </c>
      <c r="K850">
        <v>29.5</v>
      </c>
      <c r="L850" t="s">
        <v>19</v>
      </c>
      <c r="M850">
        <f t="shared" si="39"/>
        <v>1002.04</v>
      </c>
      <c r="N850">
        <f t="shared" si="40"/>
        <v>0</v>
      </c>
      <c r="O850">
        <f t="shared" si="41"/>
        <v>1002.04</v>
      </c>
    </row>
    <row r="851" spans="1:15" x14ac:dyDescent="0.2">
      <c r="A851" t="s">
        <v>86</v>
      </c>
      <c r="B851">
        <v>60565</v>
      </c>
      <c r="C851" t="s">
        <v>13</v>
      </c>
      <c r="D851" t="s">
        <v>22</v>
      </c>
      <c r="E851" s="3">
        <v>44636</v>
      </c>
      <c r="F851" t="s">
        <v>33</v>
      </c>
      <c r="G851" s="2">
        <v>44924</v>
      </c>
      <c r="H851" t="s">
        <v>87</v>
      </c>
      <c r="I851" s="2">
        <v>44652</v>
      </c>
      <c r="J851">
        <v>739.56</v>
      </c>
      <c r="K851">
        <v>50.8</v>
      </c>
      <c r="L851" t="s">
        <v>16</v>
      </c>
      <c r="M851">
        <f t="shared" si="39"/>
        <v>739.56</v>
      </c>
      <c r="N851">
        <f t="shared" si="40"/>
        <v>0</v>
      </c>
      <c r="O851">
        <f t="shared" si="41"/>
        <v>739.56</v>
      </c>
    </row>
    <row r="852" spans="1:15" x14ac:dyDescent="0.2">
      <c r="A852" t="s">
        <v>88</v>
      </c>
      <c r="B852">
        <v>60540</v>
      </c>
      <c r="C852" t="s">
        <v>13</v>
      </c>
      <c r="D852" t="s">
        <v>22</v>
      </c>
      <c r="E852" s="3">
        <v>44906</v>
      </c>
      <c r="F852" t="s">
        <v>33</v>
      </c>
      <c r="G852" s="2">
        <v>44719</v>
      </c>
      <c r="H852" t="s">
        <v>89</v>
      </c>
      <c r="I852" s="2">
        <v>44652</v>
      </c>
      <c r="J852">
        <v>880.57</v>
      </c>
      <c r="K852">
        <v>50.8</v>
      </c>
      <c r="L852" t="s">
        <v>16</v>
      </c>
      <c r="M852">
        <f t="shared" si="39"/>
        <v>880.57</v>
      </c>
      <c r="N852">
        <f t="shared" si="40"/>
        <v>0</v>
      </c>
      <c r="O852">
        <f t="shared" si="41"/>
        <v>880.57</v>
      </c>
    </row>
    <row r="853" spans="1:15" x14ac:dyDescent="0.2">
      <c r="A853" t="s">
        <v>90</v>
      </c>
      <c r="B853">
        <v>60540</v>
      </c>
      <c r="C853" t="s">
        <v>13</v>
      </c>
      <c r="D853" t="s">
        <v>22</v>
      </c>
      <c r="E853" s="3">
        <v>44661</v>
      </c>
      <c r="F853" t="s">
        <v>33</v>
      </c>
      <c r="G853" s="2">
        <v>44893</v>
      </c>
      <c r="H853" t="s">
        <v>91</v>
      </c>
      <c r="I853" s="2">
        <v>44652</v>
      </c>
      <c r="J853">
        <v>726.01</v>
      </c>
      <c r="K853">
        <v>50.8</v>
      </c>
      <c r="L853" t="s">
        <v>16</v>
      </c>
      <c r="M853">
        <f t="shared" si="39"/>
        <v>726.01</v>
      </c>
      <c r="N853">
        <f t="shared" si="40"/>
        <v>0</v>
      </c>
      <c r="O853">
        <f t="shared" si="41"/>
        <v>726.01</v>
      </c>
    </row>
    <row r="854" spans="1:15" x14ac:dyDescent="0.2">
      <c r="A854" t="s">
        <v>86</v>
      </c>
      <c r="B854">
        <v>60565</v>
      </c>
      <c r="C854" t="s">
        <v>13</v>
      </c>
      <c r="D854" t="s">
        <v>22</v>
      </c>
      <c r="E854" s="3">
        <v>44636</v>
      </c>
      <c r="F854" t="s">
        <v>33</v>
      </c>
      <c r="G854" s="2">
        <v>44924</v>
      </c>
      <c r="H854" t="s">
        <v>87</v>
      </c>
      <c r="I854" s="2">
        <v>44682</v>
      </c>
      <c r="J854">
        <v>778.68</v>
      </c>
      <c r="K854">
        <v>46.3</v>
      </c>
      <c r="L854" t="s">
        <v>16</v>
      </c>
      <c r="M854">
        <f t="shared" si="39"/>
        <v>778.68</v>
      </c>
      <c r="N854">
        <f t="shared" si="40"/>
        <v>0</v>
      </c>
      <c r="O854">
        <f t="shared" si="41"/>
        <v>778.68</v>
      </c>
    </row>
    <row r="855" spans="1:15" x14ac:dyDescent="0.2">
      <c r="A855" t="s">
        <v>88</v>
      </c>
      <c r="B855">
        <v>60540</v>
      </c>
      <c r="C855" t="s">
        <v>13</v>
      </c>
      <c r="D855" t="s">
        <v>22</v>
      </c>
      <c r="E855" s="3">
        <v>44906</v>
      </c>
      <c r="F855" t="s">
        <v>33</v>
      </c>
      <c r="G855" s="2">
        <v>44719</v>
      </c>
      <c r="H855" t="s">
        <v>89</v>
      </c>
      <c r="I855" s="2">
        <v>44682</v>
      </c>
      <c r="J855">
        <v>567.36</v>
      </c>
      <c r="K855">
        <v>46.3</v>
      </c>
      <c r="L855" t="s">
        <v>16</v>
      </c>
      <c r="M855">
        <f t="shared" si="39"/>
        <v>567.36</v>
      </c>
      <c r="N855">
        <f t="shared" si="40"/>
        <v>0</v>
      </c>
      <c r="O855">
        <f t="shared" si="41"/>
        <v>567.36</v>
      </c>
    </row>
    <row r="856" spans="1:15" x14ac:dyDescent="0.2">
      <c r="A856" t="s">
        <v>90</v>
      </c>
      <c r="B856">
        <v>60540</v>
      </c>
      <c r="C856" t="s">
        <v>13</v>
      </c>
      <c r="D856" t="s">
        <v>22</v>
      </c>
      <c r="E856" s="3">
        <v>44661</v>
      </c>
      <c r="F856" t="s">
        <v>33</v>
      </c>
      <c r="G856" s="2">
        <v>44893</v>
      </c>
      <c r="H856" t="s">
        <v>91</v>
      </c>
      <c r="I856" s="2">
        <v>44682</v>
      </c>
      <c r="J856">
        <v>629.49</v>
      </c>
      <c r="K856">
        <v>46.3</v>
      </c>
      <c r="L856" t="s">
        <v>16</v>
      </c>
      <c r="M856">
        <f t="shared" si="39"/>
        <v>629.49</v>
      </c>
      <c r="N856">
        <f t="shared" si="40"/>
        <v>0</v>
      </c>
      <c r="O856">
        <f t="shared" si="41"/>
        <v>629.49</v>
      </c>
    </row>
    <row r="857" spans="1:15" x14ac:dyDescent="0.2">
      <c r="A857" t="s">
        <v>86</v>
      </c>
      <c r="B857">
        <v>60565</v>
      </c>
      <c r="C857" t="s">
        <v>13</v>
      </c>
      <c r="D857" t="s">
        <v>22</v>
      </c>
      <c r="E857" s="3">
        <v>44636</v>
      </c>
      <c r="F857" t="s">
        <v>33</v>
      </c>
      <c r="G857" s="2">
        <v>44924</v>
      </c>
      <c r="H857" t="s">
        <v>87</v>
      </c>
      <c r="I857" s="2">
        <v>44713</v>
      </c>
      <c r="J857">
        <v>815.95</v>
      </c>
      <c r="K857">
        <v>61.1</v>
      </c>
      <c r="L857" t="s">
        <v>16</v>
      </c>
      <c r="M857">
        <f t="shared" si="39"/>
        <v>815.95</v>
      </c>
      <c r="N857">
        <f t="shared" si="40"/>
        <v>0</v>
      </c>
      <c r="O857">
        <f t="shared" si="41"/>
        <v>815.95</v>
      </c>
    </row>
    <row r="858" spans="1:15" x14ac:dyDescent="0.2">
      <c r="A858" t="s">
        <v>88</v>
      </c>
      <c r="B858">
        <v>60540</v>
      </c>
      <c r="C858" t="s">
        <v>13</v>
      </c>
      <c r="D858" t="s">
        <v>22</v>
      </c>
      <c r="E858" s="3">
        <v>44906</v>
      </c>
      <c r="F858" t="s">
        <v>33</v>
      </c>
      <c r="G858" s="2">
        <v>44719</v>
      </c>
      <c r="H858" t="s">
        <v>89</v>
      </c>
      <c r="I858" s="2">
        <v>44713</v>
      </c>
      <c r="J858">
        <v>951.08</v>
      </c>
      <c r="K858">
        <v>61.1</v>
      </c>
      <c r="L858" t="s">
        <v>16</v>
      </c>
      <c r="M858">
        <f t="shared" si="39"/>
        <v>951.08</v>
      </c>
      <c r="N858">
        <f t="shared" si="40"/>
        <v>0</v>
      </c>
      <c r="O858">
        <f t="shared" si="41"/>
        <v>951.08</v>
      </c>
    </row>
    <row r="859" spans="1:15" x14ac:dyDescent="0.2">
      <c r="A859" t="s">
        <v>90</v>
      </c>
      <c r="B859">
        <v>60540</v>
      </c>
      <c r="C859" t="s">
        <v>13</v>
      </c>
      <c r="D859" t="s">
        <v>22</v>
      </c>
      <c r="E859" s="3">
        <v>44661</v>
      </c>
      <c r="F859" t="s">
        <v>33</v>
      </c>
      <c r="G859" s="2">
        <v>44893</v>
      </c>
      <c r="H859" t="s">
        <v>91</v>
      </c>
      <c r="I859" s="2">
        <v>44713</v>
      </c>
      <c r="J859">
        <v>938.29</v>
      </c>
      <c r="K859">
        <v>61.1</v>
      </c>
      <c r="L859" t="s">
        <v>16</v>
      </c>
      <c r="M859">
        <f t="shared" si="39"/>
        <v>938.29</v>
      </c>
      <c r="N859">
        <f t="shared" si="40"/>
        <v>0</v>
      </c>
      <c r="O859">
        <f t="shared" si="41"/>
        <v>938.29</v>
      </c>
    </row>
    <row r="860" spans="1:15" x14ac:dyDescent="0.2">
      <c r="A860" t="s">
        <v>86</v>
      </c>
      <c r="B860">
        <v>60565</v>
      </c>
      <c r="C860" t="s">
        <v>13</v>
      </c>
      <c r="D860" t="s">
        <v>22</v>
      </c>
      <c r="E860" s="3">
        <v>44636</v>
      </c>
      <c r="F860" t="s">
        <v>33</v>
      </c>
      <c r="G860" s="2">
        <v>44924</v>
      </c>
      <c r="H860" t="s">
        <v>87</v>
      </c>
      <c r="I860" s="2">
        <v>44743</v>
      </c>
      <c r="J860">
        <v>845.15</v>
      </c>
      <c r="K860">
        <v>27.4</v>
      </c>
      <c r="L860" t="s">
        <v>19</v>
      </c>
      <c r="M860">
        <f t="shared" si="39"/>
        <v>845.15</v>
      </c>
      <c r="N860">
        <f t="shared" si="40"/>
        <v>0</v>
      </c>
      <c r="O860">
        <f t="shared" si="41"/>
        <v>845.15</v>
      </c>
    </row>
    <row r="861" spans="1:15" x14ac:dyDescent="0.2">
      <c r="A861" t="s">
        <v>88</v>
      </c>
      <c r="B861">
        <v>60540</v>
      </c>
      <c r="C861" t="s">
        <v>13</v>
      </c>
      <c r="D861" t="s">
        <v>22</v>
      </c>
      <c r="E861" s="3">
        <v>44906</v>
      </c>
      <c r="F861" t="s">
        <v>33</v>
      </c>
      <c r="G861" s="2">
        <v>44719</v>
      </c>
      <c r="H861" t="s">
        <v>89</v>
      </c>
      <c r="I861" s="2">
        <v>44743</v>
      </c>
      <c r="J861">
        <v>613.91</v>
      </c>
      <c r="K861">
        <v>27.4</v>
      </c>
      <c r="L861" t="s">
        <v>19</v>
      </c>
      <c r="M861">
        <f t="shared" si="39"/>
        <v>0</v>
      </c>
      <c r="N861">
        <f t="shared" si="40"/>
        <v>613.91</v>
      </c>
      <c r="O861">
        <f t="shared" si="41"/>
        <v>-613.91</v>
      </c>
    </row>
    <row r="862" spans="1:15" x14ac:dyDescent="0.2">
      <c r="A862" t="s">
        <v>90</v>
      </c>
      <c r="B862">
        <v>60540</v>
      </c>
      <c r="C862" t="s">
        <v>13</v>
      </c>
      <c r="D862" t="s">
        <v>22</v>
      </c>
      <c r="E862" s="3">
        <v>44661</v>
      </c>
      <c r="F862" t="s">
        <v>33</v>
      </c>
      <c r="G862" s="2">
        <v>44893</v>
      </c>
      <c r="H862" t="s">
        <v>91</v>
      </c>
      <c r="I862" s="2">
        <v>44743</v>
      </c>
      <c r="J862">
        <v>913.66</v>
      </c>
      <c r="K862">
        <v>27.4</v>
      </c>
      <c r="L862" t="s">
        <v>19</v>
      </c>
      <c r="M862">
        <f t="shared" si="39"/>
        <v>913.66</v>
      </c>
      <c r="N862">
        <f t="shared" si="40"/>
        <v>0</v>
      </c>
      <c r="O862">
        <f t="shared" si="41"/>
        <v>913.66</v>
      </c>
    </row>
    <row r="863" spans="1:15" x14ac:dyDescent="0.2">
      <c r="A863" t="s">
        <v>86</v>
      </c>
      <c r="B863">
        <v>60565</v>
      </c>
      <c r="C863" t="s">
        <v>13</v>
      </c>
      <c r="D863" t="s">
        <v>22</v>
      </c>
      <c r="E863" s="3">
        <v>44636</v>
      </c>
      <c r="F863" t="s">
        <v>33</v>
      </c>
      <c r="G863" s="2">
        <v>44924</v>
      </c>
      <c r="H863" t="s">
        <v>87</v>
      </c>
      <c r="I863" s="2">
        <v>44774</v>
      </c>
      <c r="J863">
        <v>864.38</v>
      </c>
      <c r="K863">
        <v>54.2</v>
      </c>
      <c r="L863" t="s">
        <v>16</v>
      </c>
      <c r="M863">
        <f t="shared" si="39"/>
        <v>864.38</v>
      </c>
      <c r="N863">
        <f t="shared" si="40"/>
        <v>0</v>
      </c>
      <c r="O863">
        <f t="shared" si="41"/>
        <v>864.38</v>
      </c>
    </row>
    <row r="864" spans="1:15" x14ac:dyDescent="0.2">
      <c r="A864" t="s">
        <v>88</v>
      </c>
      <c r="B864">
        <v>60540</v>
      </c>
      <c r="C864" t="s">
        <v>13</v>
      </c>
      <c r="D864" t="s">
        <v>22</v>
      </c>
      <c r="E864" s="3">
        <v>44906</v>
      </c>
      <c r="F864" t="s">
        <v>33</v>
      </c>
      <c r="G864" s="2">
        <v>44719</v>
      </c>
      <c r="H864" t="s">
        <v>89</v>
      </c>
      <c r="I864" s="2">
        <v>44774</v>
      </c>
      <c r="J864">
        <v>899.69</v>
      </c>
      <c r="K864">
        <v>54.2</v>
      </c>
      <c r="L864" t="s">
        <v>16</v>
      </c>
      <c r="M864">
        <f t="shared" si="39"/>
        <v>0</v>
      </c>
      <c r="N864">
        <f t="shared" si="40"/>
        <v>899.69</v>
      </c>
      <c r="O864">
        <f t="shared" si="41"/>
        <v>-899.69</v>
      </c>
    </row>
    <row r="865" spans="1:15" x14ac:dyDescent="0.2">
      <c r="A865" t="s">
        <v>90</v>
      </c>
      <c r="B865">
        <v>60540</v>
      </c>
      <c r="C865" t="s">
        <v>13</v>
      </c>
      <c r="D865" t="s">
        <v>22</v>
      </c>
      <c r="E865" s="3">
        <v>44661</v>
      </c>
      <c r="F865" t="s">
        <v>33</v>
      </c>
      <c r="G865" s="2">
        <v>44893</v>
      </c>
      <c r="H865" t="s">
        <v>91</v>
      </c>
      <c r="I865" s="2">
        <v>44774</v>
      </c>
      <c r="J865">
        <v>754.3</v>
      </c>
      <c r="K865">
        <v>54.2</v>
      </c>
      <c r="L865" t="s">
        <v>16</v>
      </c>
      <c r="M865">
        <f t="shared" si="39"/>
        <v>754.3</v>
      </c>
      <c r="N865">
        <f t="shared" si="40"/>
        <v>0</v>
      </c>
      <c r="O865">
        <f t="shared" si="41"/>
        <v>754.3</v>
      </c>
    </row>
    <row r="866" spans="1:15" x14ac:dyDescent="0.2">
      <c r="A866" t="s">
        <v>86</v>
      </c>
      <c r="B866">
        <v>60565</v>
      </c>
      <c r="C866" t="s">
        <v>13</v>
      </c>
      <c r="D866" t="s">
        <v>22</v>
      </c>
      <c r="E866" s="3">
        <v>44636</v>
      </c>
      <c r="F866" t="s">
        <v>33</v>
      </c>
      <c r="G866" s="2">
        <v>44924</v>
      </c>
      <c r="H866" t="s">
        <v>87</v>
      </c>
      <c r="I866" s="2">
        <v>44805</v>
      </c>
      <c r="J866">
        <v>868.4</v>
      </c>
      <c r="K866">
        <v>41.9</v>
      </c>
      <c r="L866" t="s">
        <v>16</v>
      </c>
      <c r="M866">
        <f t="shared" si="39"/>
        <v>868.4</v>
      </c>
      <c r="N866">
        <f t="shared" si="40"/>
        <v>0</v>
      </c>
      <c r="O866">
        <f t="shared" si="41"/>
        <v>868.4</v>
      </c>
    </row>
    <row r="867" spans="1:15" x14ac:dyDescent="0.2">
      <c r="A867" t="s">
        <v>88</v>
      </c>
      <c r="B867">
        <v>60540</v>
      </c>
      <c r="C867" t="s">
        <v>13</v>
      </c>
      <c r="D867" t="s">
        <v>22</v>
      </c>
      <c r="E867" s="3">
        <v>44906</v>
      </c>
      <c r="F867" t="s">
        <v>33</v>
      </c>
      <c r="G867" s="2">
        <v>44719</v>
      </c>
      <c r="H867" t="s">
        <v>89</v>
      </c>
      <c r="I867" s="2">
        <v>44805</v>
      </c>
      <c r="J867">
        <v>868.68</v>
      </c>
      <c r="K867">
        <v>41.9</v>
      </c>
      <c r="L867" t="s">
        <v>16</v>
      </c>
      <c r="M867">
        <f t="shared" si="39"/>
        <v>0</v>
      </c>
      <c r="N867">
        <f t="shared" si="40"/>
        <v>868.68</v>
      </c>
      <c r="O867">
        <f t="shared" si="41"/>
        <v>-868.68</v>
      </c>
    </row>
    <row r="868" spans="1:15" x14ac:dyDescent="0.2">
      <c r="A868" t="s">
        <v>90</v>
      </c>
      <c r="B868">
        <v>60540</v>
      </c>
      <c r="C868" t="s">
        <v>13</v>
      </c>
      <c r="D868" t="s">
        <v>22</v>
      </c>
      <c r="E868" s="3">
        <v>44661</v>
      </c>
      <c r="F868" t="s">
        <v>33</v>
      </c>
      <c r="G868" s="2">
        <v>44893</v>
      </c>
      <c r="H868" t="s">
        <v>91</v>
      </c>
      <c r="I868" s="2">
        <v>44805</v>
      </c>
      <c r="J868">
        <v>788.7</v>
      </c>
      <c r="K868">
        <v>41.9</v>
      </c>
      <c r="L868" t="s">
        <v>16</v>
      </c>
      <c r="M868">
        <f t="shared" si="39"/>
        <v>788.7</v>
      </c>
      <c r="N868">
        <f t="shared" si="40"/>
        <v>0</v>
      </c>
      <c r="O868">
        <f t="shared" si="41"/>
        <v>788.7</v>
      </c>
    </row>
    <row r="869" spans="1:15" x14ac:dyDescent="0.2">
      <c r="A869" t="s">
        <v>86</v>
      </c>
      <c r="B869">
        <v>60565</v>
      </c>
      <c r="C869" t="s">
        <v>13</v>
      </c>
      <c r="D869" t="s">
        <v>22</v>
      </c>
      <c r="E869" s="3">
        <v>44636</v>
      </c>
      <c r="F869" t="s">
        <v>33</v>
      </c>
      <c r="G869" s="2">
        <v>44924</v>
      </c>
      <c r="H869" t="s">
        <v>87</v>
      </c>
      <c r="I869" s="2">
        <v>44835</v>
      </c>
      <c r="J869">
        <v>785.55</v>
      </c>
      <c r="K869">
        <v>74.099999999999994</v>
      </c>
      <c r="L869" t="s">
        <v>20</v>
      </c>
      <c r="M869">
        <f t="shared" si="39"/>
        <v>785.55</v>
      </c>
      <c r="N869">
        <f t="shared" si="40"/>
        <v>0</v>
      </c>
      <c r="O869">
        <f t="shared" si="41"/>
        <v>785.55</v>
      </c>
    </row>
    <row r="870" spans="1:15" x14ac:dyDescent="0.2">
      <c r="A870" t="s">
        <v>88</v>
      </c>
      <c r="B870">
        <v>60540</v>
      </c>
      <c r="C870" t="s">
        <v>13</v>
      </c>
      <c r="D870" t="s">
        <v>22</v>
      </c>
      <c r="E870" s="3">
        <v>44906</v>
      </c>
      <c r="F870" t="s">
        <v>33</v>
      </c>
      <c r="G870" s="2">
        <v>44719</v>
      </c>
      <c r="H870" t="s">
        <v>89</v>
      </c>
      <c r="I870" s="2">
        <v>44835</v>
      </c>
      <c r="J870">
        <v>566.04</v>
      </c>
      <c r="K870">
        <v>74.099999999999994</v>
      </c>
      <c r="L870" t="s">
        <v>20</v>
      </c>
      <c r="M870">
        <f t="shared" si="39"/>
        <v>0</v>
      </c>
      <c r="N870">
        <f t="shared" si="40"/>
        <v>566.04</v>
      </c>
      <c r="O870">
        <f t="shared" si="41"/>
        <v>-566.04</v>
      </c>
    </row>
    <row r="871" spans="1:15" x14ac:dyDescent="0.2">
      <c r="A871" t="s">
        <v>90</v>
      </c>
      <c r="B871">
        <v>60540</v>
      </c>
      <c r="C871" t="s">
        <v>13</v>
      </c>
      <c r="D871" t="s">
        <v>22</v>
      </c>
      <c r="E871" s="3">
        <v>44661</v>
      </c>
      <c r="F871" t="s">
        <v>33</v>
      </c>
      <c r="G871" s="2">
        <v>44893</v>
      </c>
      <c r="H871" t="s">
        <v>91</v>
      </c>
      <c r="I871" s="2">
        <v>44835</v>
      </c>
      <c r="J871">
        <v>677.51</v>
      </c>
      <c r="K871">
        <v>74.099999999999994</v>
      </c>
      <c r="L871" t="s">
        <v>20</v>
      </c>
      <c r="M871">
        <f t="shared" si="39"/>
        <v>677.51</v>
      </c>
      <c r="N871">
        <f t="shared" si="40"/>
        <v>0</v>
      </c>
      <c r="O871">
        <f t="shared" si="41"/>
        <v>677.51</v>
      </c>
    </row>
    <row r="872" spans="1:15" x14ac:dyDescent="0.2">
      <c r="A872" t="s">
        <v>86</v>
      </c>
      <c r="B872">
        <v>60565</v>
      </c>
      <c r="C872" t="s">
        <v>13</v>
      </c>
      <c r="D872" t="s">
        <v>22</v>
      </c>
      <c r="E872" s="3">
        <v>44636</v>
      </c>
      <c r="F872" t="s">
        <v>33</v>
      </c>
      <c r="G872" s="2">
        <v>44924</v>
      </c>
      <c r="H872" t="s">
        <v>87</v>
      </c>
      <c r="I872" s="2">
        <v>44866</v>
      </c>
      <c r="J872">
        <v>866.81</v>
      </c>
      <c r="K872">
        <v>42.6</v>
      </c>
      <c r="L872" t="s">
        <v>16</v>
      </c>
      <c r="M872">
        <f t="shared" si="39"/>
        <v>866.81</v>
      </c>
      <c r="N872">
        <f t="shared" si="40"/>
        <v>0</v>
      </c>
      <c r="O872">
        <f t="shared" si="41"/>
        <v>866.81</v>
      </c>
    </row>
    <row r="873" spans="1:15" x14ac:dyDescent="0.2">
      <c r="A873" t="s">
        <v>88</v>
      </c>
      <c r="B873">
        <v>60540</v>
      </c>
      <c r="C873" t="s">
        <v>13</v>
      </c>
      <c r="D873" t="s">
        <v>22</v>
      </c>
      <c r="E873" s="3">
        <v>44906</v>
      </c>
      <c r="F873" t="s">
        <v>33</v>
      </c>
      <c r="G873" s="2">
        <v>44719</v>
      </c>
      <c r="H873" t="s">
        <v>89</v>
      </c>
      <c r="I873" s="2">
        <v>44866</v>
      </c>
      <c r="J873">
        <v>571.09</v>
      </c>
      <c r="K873">
        <v>42.6</v>
      </c>
      <c r="L873" t="s">
        <v>16</v>
      </c>
      <c r="M873">
        <f t="shared" si="39"/>
        <v>0</v>
      </c>
      <c r="N873">
        <f t="shared" si="40"/>
        <v>571.09</v>
      </c>
      <c r="O873">
        <f t="shared" si="41"/>
        <v>-571.09</v>
      </c>
    </row>
    <row r="874" spans="1:15" x14ac:dyDescent="0.2">
      <c r="A874" t="s">
        <v>90</v>
      </c>
      <c r="B874">
        <v>60540</v>
      </c>
      <c r="C874" t="s">
        <v>13</v>
      </c>
      <c r="D874" t="s">
        <v>22</v>
      </c>
      <c r="E874" s="3">
        <v>44661</v>
      </c>
      <c r="F874" t="s">
        <v>33</v>
      </c>
      <c r="G874" s="2">
        <v>44893</v>
      </c>
      <c r="H874" t="s">
        <v>91</v>
      </c>
      <c r="I874" s="2">
        <v>44866</v>
      </c>
      <c r="J874">
        <v>808.9</v>
      </c>
      <c r="K874">
        <v>42.6</v>
      </c>
      <c r="L874" t="s">
        <v>16</v>
      </c>
      <c r="M874">
        <f t="shared" si="39"/>
        <v>808.9</v>
      </c>
      <c r="N874">
        <f t="shared" si="40"/>
        <v>0</v>
      </c>
      <c r="O874">
        <f t="shared" si="41"/>
        <v>808.9</v>
      </c>
    </row>
    <row r="875" spans="1:15" x14ac:dyDescent="0.2">
      <c r="A875" t="s">
        <v>86</v>
      </c>
      <c r="B875">
        <v>60565</v>
      </c>
      <c r="C875" t="s">
        <v>13</v>
      </c>
      <c r="D875" t="s">
        <v>22</v>
      </c>
      <c r="E875" s="3">
        <v>44636</v>
      </c>
      <c r="F875" t="s">
        <v>33</v>
      </c>
      <c r="G875" s="2">
        <v>44924</v>
      </c>
      <c r="H875" t="s">
        <v>87</v>
      </c>
      <c r="I875" s="2">
        <v>44896</v>
      </c>
      <c r="J875">
        <v>781.08</v>
      </c>
      <c r="K875">
        <v>52.3</v>
      </c>
      <c r="L875" t="s">
        <v>16</v>
      </c>
      <c r="M875">
        <f t="shared" si="39"/>
        <v>781.08</v>
      </c>
      <c r="N875">
        <f t="shared" si="40"/>
        <v>0</v>
      </c>
      <c r="O875">
        <f t="shared" si="41"/>
        <v>781.08</v>
      </c>
    </row>
    <row r="876" spans="1:15" x14ac:dyDescent="0.2">
      <c r="A876" t="s">
        <v>88</v>
      </c>
      <c r="B876">
        <v>60540</v>
      </c>
      <c r="C876" t="s">
        <v>13</v>
      </c>
      <c r="D876" t="s">
        <v>22</v>
      </c>
      <c r="E876" s="3">
        <v>44906</v>
      </c>
      <c r="F876" t="s">
        <v>33</v>
      </c>
      <c r="G876" s="2">
        <v>44719</v>
      </c>
      <c r="H876" t="s">
        <v>89</v>
      </c>
      <c r="I876" s="2">
        <v>44896</v>
      </c>
      <c r="J876">
        <v>943.25</v>
      </c>
      <c r="K876">
        <v>52.3</v>
      </c>
      <c r="L876" t="s">
        <v>16</v>
      </c>
      <c r="M876">
        <f t="shared" si="39"/>
        <v>0</v>
      </c>
      <c r="N876">
        <f t="shared" si="40"/>
        <v>943.25</v>
      </c>
      <c r="O876">
        <f t="shared" si="41"/>
        <v>-943.25</v>
      </c>
    </row>
    <row r="877" spans="1:15" x14ac:dyDescent="0.2">
      <c r="A877" t="s">
        <v>86</v>
      </c>
      <c r="B877">
        <v>60565</v>
      </c>
      <c r="C877" t="s">
        <v>13</v>
      </c>
      <c r="D877" t="s">
        <v>22</v>
      </c>
      <c r="E877" s="3">
        <v>44636</v>
      </c>
      <c r="F877" t="s">
        <v>33</v>
      </c>
      <c r="G877" s="2">
        <v>44924</v>
      </c>
      <c r="H877" t="s">
        <v>87</v>
      </c>
      <c r="I877" s="2">
        <v>44927</v>
      </c>
      <c r="J877">
        <v>757.93</v>
      </c>
      <c r="K877">
        <v>76.2</v>
      </c>
      <c r="L877" t="s">
        <v>20</v>
      </c>
      <c r="M877">
        <f t="shared" si="39"/>
        <v>0</v>
      </c>
      <c r="N877">
        <f t="shared" si="40"/>
        <v>757.93</v>
      </c>
      <c r="O877">
        <f t="shared" si="41"/>
        <v>-757.93</v>
      </c>
    </row>
    <row r="878" spans="1:15" x14ac:dyDescent="0.2">
      <c r="A878" t="s">
        <v>88</v>
      </c>
      <c r="B878">
        <v>60540</v>
      </c>
      <c r="C878" t="s">
        <v>13</v>
      </c>
      <c r="D878" t="s">
        <v>22</v>
      </c>
      <c r="E878" s="3">
        <v>44906</v>
      </c>
      <c r="F878" t="s">
        <v>33</v>
      </c>
      <c r="G878" s="2">
        <v>44719</v>
      </c>
      <c r="H878" t="s">
        <v>89</v>
      </c>
      <c r="I878" s="2">
        <v>44927</v>
      </c>
      <c r="J878">
        <v>821.47</v>
      </c>
      <c r="K878">
        <v>76.2</v>
      </c>
      <c r="L878" t="s">
        <v>20</v>
      </c>
      <c r="M878">
        <f t="shared" si="39"/>
        <v>0</v>
      </c>
      <c r="N878">
        <f t="shared" si="40"/>
        <v>821.47</v>
      </c>
      <c r="O878">
        <f t="shared" si="41"/>
        <v>-821.47</v>
      </c>
    </row>
    <row r="879" spans="1:15" x14ac:dyDescent="0.2">
      <c r="A879" t="s">
        <v>86</v>
      </c>
      <c r="B879">
        <v>60565</v>
      </c>
      <c r="C879" t="s">
        <v>13</v>
      </c>
      <c r="D879" t="s">
        <v>22</v>
      </c>
      <c r="E879" s="3">
        <v>44636</v>
      </c>
      <c r="F879" t="s">
        <v>33</v>
      </c>
      <c r="G879" s="2">
        <v>44924</v>
      </c>
      <c r="H879" t="s">
        <v>87</v>
      </c>
      <c r="I879" s="2">
        <v>44958</v>
      </c>
      <c r="J879">
        <v>749.73</v>
      </c>
      <c r="K879">
        <v>73.7</v>
      </c>
      <c r="L879" t="s">
        <v>20</v>
      </c>
      <c r="M879">
        <f t="shared" si="39"/>
        <v>0</v>
      </c>
      <c r="N879">
        <f t="shared" si="40"/>
        <v>749.73</v>
      </c>
      <c r="O879">
        <f t="shared" si="41"/>
        <v>-749.73</v>
      </c>
    </row>
    <row r="880" spans="1:15" x14ac:dyDescent="0.2">
      <c r="A880" t="s">
        <v>88</v>
      </c>
      <c r="B880">
        <v>60540</v>
      </c>
      <c r="C880" t="s">
        <v>13</v>
      </c>
      <c r="D880" t="s">
        <v>22</v>
      </c>
      <c r="E880" s="3">
        <v>44906</v>
      </c>
      <c r="F880" t="s">
        <v>33</v>
      </c>
      <c r="G880" s="2">
        <v>44719</v>
      </c>
      <c r="H880" t="s">
        <v>89</v>
      </c>
      <c r="I880" s="2">
        <v>44958</v>
      </c>
      <c r="J880">
        <v>611.91</v>
      </c>
      <c r="K880">
        <v>73.7</v>
      </c>
      <c r="L880" t="s">
        <v>20</v>
      </c>
      <c r="M880">
        <f t="shared" si="39"/>
        <v>0</v>
      </c>
      <c r="N880">
        <f t="shared" si="40"/>
        <v>611.91</v>
      </c>
      <c r="O880">
        <f t="shared" si="41"/>
        <v>-611.91</v>
      </c>
    </row>
    <row r="881" spans="1:15" x14ac:dyDescent="0.2">
      <c r="A881" t="s">
        <v>86</v>
      </c>
      <c r="B881">
        <v>60565</v>
      </c>
      <c r="C881" t="s">
        <v>13</v>
      </c>
      <c r="D881" t="s">
        <v>22</v>
      </c>
      <c r="E881" s="3">
        <v>44636</v>
      </c>
      <c r="F881" t="s">
        <v>33</v>
      </c>
      <c r="G881" s="2">
        <v>44924</v>
      </c>
      <c r="H881" t="s">
        <v>87</v>
      </c>
      <c r="I881" s="2">
        <v>44986</v>
      </c>
      <c r="J881">
        <v>776.28</v>
      </c>
      <c r="K881">
        <v>52.8</v>
      </c>
      <c r="L881" t="s">
        <v>16</v>
      </c>
      <c r="M881">
        <f t="shared" si="39"/>
        <v>0</v>
      </c>
      <c r="N881">
        <f t="shared" si="40"/>
        <v>776.28</v>
      </c>
      <c r="O881">
        <f t="shared" si="41"/>
        <v>-776.28</v>
      </c>
    </row>
    <row r="882" spans="1:15" x14ac:dyDescent="0.2">
      <c r="A882" t="s">
        <v>88</v>
      </c>
      <c r="B882">
        <v>60540</v>
      </c>
      <c r="C882" t="s">
        <v>13</v>
      </c>
      <c r="D882" t="s">
        <v>22</v>
      </c>
      <c r="E882" s="3">
        <v>44906</v>
      </c>
      <c r="F882" t="s">
        <v>33</v>
      </c>
      <c r="G882" s="2">
        <v>44719</v>
      </c>
      <c r="H882" t="s">
        <v>89</v>
      </c>
      <c r="I882" s="2">
        <v>44986</v>
      </c>
      <c r="J882">
        <v>611.80999999999995</v>
      </c>
      <c r="K882">
        <v>52.8</v>
      </c>
      <c r="L882" t="s">
        <v>16</v>
      </c>
      <c r="M882">
        <f t="shared" si="39"/>
        <v>0</v>
      </c>
      <c r="N882">
        <f t="shared" si="40"/>
        <v>611.80999999999995</v>
      </c>
      <c r="O882">
        <f t="shared" si="41"/>
        <v>-611.80999999999995</v>
      </c>
    </row>
    <row r="883" spans="1:15" x14ac:dyDescent="0.2">
      <c r="A883" t="s">
        <v>86</v>
      </c>
      <c r="B883">
        <v>60565</v>
      </c>
      <c r="C883" t="s">
        <v>13</v>
      </c>
      <c r="D883" t="s">
        <v>22</v>
      </c>
      <c r="E883" s="3">
        <v>44636</v>
      </c>
      <c r="F883" t="s">
        <v>33</v>
      </c>
      <c r="G883" s="2">
        <v>44924</v>
      </c>
      <c r="H883" t="s">
        <v>87</v>
      </c>
      <c r="I883" s="2">
        <v>45017</v>
      </c>
      <c r="J883">
        <v>763.8</v>
      </c>
      <c r="K883">
        <v>103.1</v>
      </c>
      <c r="L883" t="s">
        <v>20</v>
      </c>
      <c r="M883">
        <f t="shared" si="39"/>
        <v>0</v>
      </c>
      <c r="N883">
        <f t="shared" si="40"/>
        <v>763.8</v>
      </c>
      <c r="O883">
        <f t="shared" si="41"/>
        <v>-763.8</v>
      </c>
    </row>
    <row r="884" spans="1:15" x14ac:dyDescent="0.2">
      <c r="A884" t="s">
        <v>88</v>
      </c>
      <c r="B884">
        <v>60540</v>
      </c>
      <c r="C884" t="s">
        <v>13</v>
      </c>
      <c r="D884" t="s">
        <v>22</v>
      </c>
      <c r="E884" s="3">
        <v>44906</v>
      </c>
      <c r="F884" t="s">
        <v>33</v>
      </c>
      <c r="G884" s="2">
        <v>44719</v>
      </c>
      <c r="H884" t="s">
        <v>89</v>
      </c>
      <c r="I884" s="2">
        <v>45017</v>
      </c>
      <c r="J884">
        <v>751.26</v>
      </c>
      <c r="K884">
        <v>103.1</v>
      </c>
      <c r="L884" t="s">
        <v>20</v>
      </c>
      <c r="M884">
        <f t="shared" si="39"/>
        <v>0</v>
      </c>
      <c r="N884">
        <f t="shared" si="40"/>
        <v>751.26</v>
      </c>
      <c r="O884">
        <f t="shared" si="41"/>
        <v>-751.26</v>
      </c>
    </row>
    <row r="885" spans="1:15" x14ac:dyDescent="0.2">
      <c r="A885" t="s">
        <v>86</v>
      </c>
      <c r="B885">
        <v>60565</v>
      </c>
      <c r="C885" t="s">
        <v>13</v>
      </c>
      <c r="D885" t="s">
        <v>22</v>
      </c>
      <c r="E885" s="3">
        <v>44636</v>
      </c>
      <c r="F885" t="s">
        <v>33</v>
      </c>
      <c r="G885" s="2">
        <v>44924</v>
      </c>
      <c r="H885" t="s">
        <v>87</v>
      </c>
      <c r="I885" s="2">
        <v>45047</v>
      </c>
      <c r="J885">
        <v>655.76</v>
      </c>
      <c r="K885">
        <v>40.6</v>
      </c>
      <c r="L885" t="s">
        <v>16</v>
      </c>
      <c r="M885">
        <f t="shared" si="39"/>
        <v>0</v>
      </c>
      <c r="N885">
        <f t="shared" si="40"/>
        <v>655.76</v>
      </c>
      <c r="O885">
        <f t="shared" si="41"/>
        <v>-655.76</v>
      </c>
    </row>
    <row r="886" spans="1:15" x14ac:dyDescent="0.2">
      <c r="A886" t="s">
        <v>88</v>
      </c>
      <c r="B886">
        <v>60540</v>
      </c>
      <c r="C886" t="s">
        <v>13</v>
      </c>
      <c r="D886" t="s">
        <v>22</v>
      </c>
      <c r="E886" s="3">
        <v>44906</v>
      </c>
      <c r="F886" t="s">
        <v>33</v>
      </c>
      <c r="G886" s="2">
        <v>44719</v>
      </c>
      <c r="H886" t="s">
        <v>89</v>
      </c>
      <c r="I886" s="2">
        <v>45047</v>
      </c>
      <c r="J886">
        <v>698.73</v>
      </c>
      <c r="K886">
        <v>40.6</v>
      </c>
      <c r="L886" t="s">
        <v>16</v>
      </c>
      <c r="M886">
        <f t="shared" si="39"/>
        <v>0</v>
      </c>
      <c r="N886">
        <f t="shared" si="40"/>
        <v>698.73</v>
      </c>
      <c r="O886">
        <f t="shared" si="41"/>
        <v>-698.73</v>
      </c>
    </row>
    <row r="887" spans="1:15" x14ac:dyDescent="0.2">
      <c r="A887" t="s">
        <v>86</v>
      </c>
      <c r="B887">
        <v>60565</v>
      </c>
      <c r="C887" t="s">
        <v>13</v>
      </c>
      <c r="D887" t="s">
        <v>22</v>
      </c>
      <c r="E887" s="3">
        <v>44636</v>
      </c>
      <c r="F887" t="s">
        <v>33</v>
      </c>
      <c r="G887" s="2">
        <v>44924</v>
      </c>
      <c r="H887" t="s">
        <v>87</v>
      </c>
      <c r="I887" s="2">
        <v>45078</v>
      </c>
      <c r="J887">
        <v>745.87</v>
      </c>
      <c r="K887">
        <v>76</v>
      </c>
      <c r="L887" t="s">
        <v>20</v>
      </c>
      <c r="M887">
        <f t="shared" si="39"/>
        <v>0</v>
      </c>
      <c r="N887">
        <f t="shared" si="40"/>
        <v>745.87</v>
      </c>
      <c r="O887">
        <f t="shared" si="41"/>
        <v>-745.87</v>
      </c>
    </row>
    <row r="888" spans="1:15" x14ac:dyDescent="0.2">
      <c r="A888" t="s">
        <v>88</v>
      </c>
      <c r="B888">
        <v>60540</v>
      </c>
      <c r="C888" t="s">
        <v>13</v>
      </c>
      <c r="D888" t="s">
        <v>22</v>
      </c>
      <c r="E888" s="3">
        <v>44906</v>
      </c>
      <c r="F888" t="s">
        <v>33</v>
      </c>
      <c r="G888" s="2">
        <v>44719</v>
      </c>
      <c r="H888" t="s">
        <v>89</v>
      </c>
      <c r="I888" s="2">
        <v>45078</v>
      </c>
      <c r="J888">
        <v>805.44</v>
      </c>
      <c r="K888">
        <v>76</v>
      </c>
      <c r="L888" t="s">
        <v>20</v>
      </c>
      <c r="M888">
        <f t="shared" si="39"/>
        <v>0</v>
      </c>
      <c r="N888">
        <f t="shared" si="40"/>
        <v>805.44</v>
      </c>
      <c r="O888">
        <f t="shared" si="41"/>
        <v>-805.44</v>
      </c>
    </row>
    <row r="889" spans="1:15" x14ac:dyDescent="0.2">
      <c r="A889" t="s">
        <v>86</v>
      </c>
      <c r="B889">
        <v>60565</v>
      </c>
      <c r="C889" t="s">
        <v>13</v>
      </c>
      <c r="D889" t="s">
        <v>22</v>
      </c>
      <c r="E889" s="3">
        <v>44636</v>
      </c>
      <c r="F889" t="s">
        <v>33</v>
      </c>
      <c r="G889" s="2">
        <v>44924</v>
      </c>
      <c r="H889" t="s">
        <v>87</v>
      </c>
      <c r="I889" s="2">
        <v>45108</v>
      </c>
      <c r="J889">
        <v>765.34</v>
      </c>
      <c r="K889">
        <v>38.9</v>
      </c>
      <c r="L889" t="s">
        <v>19</v>
      </c>
      <c r="M889">
        <f t="shared" si="39"/>
        <v>0</v>
      </c>
      <c r="N889">
        <f t="shared" si="40"/>
        <v>765.34</v>
      </c>
      <c r="O889">
        <f t="shared" si="41"/>
        <v>-765.34</v>
      </c>
    </row>
    <row r="890" spans="1:15" x14ac:dyDescent="0.2">
      <c r="A890" t="s">
        <v>88</v>
      </c>
      <c r="B890">
        <v>60540</v>
      </c>
      <c r="C890" t="s">
        <v>13</v>
      </c>
      <c r="D890" t="s">
        <v>22</v>
      </c>
      <c r="E890" s="3">
        <v>44906</v>
      </c>
      <c r="F890" t="s">
        <v>33</v>
      </c>
      <c r="G890" s="2">
        <v>44719</v>
      </c>
      <c r="H890" t="s">
        <v>89</v>
      </c>
      <c r="I890" s="2">
        <v>45108</v>
      </c>
      <c r="J890">
        <v>747.96</v>
      </c>
      <c r="K890">
        <v>38.9</v>
      </c>
      <c r="L890" t="s">
        <v>19</v>
      </c>
      <c r="M890">
        <f t="shared" si="39"/>
        <v>0</v>
      </c>
      <c r="N890">
        <f t="shared" si="40"/>
        <v>747.96</v>
      </c>
      <c r="O890">
        <f t="shared" si="41"/>
        <v>-747.96</v>
      </c>
    </row>
    <row r="891" spans="1:15" x14ac:dyDescent="0.2">
      <c r="A891" t="s">
        <v>86</v>
      </c>
      <c r="B891">
        <v>60565</v>
      </c>
      <c r="C891" t="s">
        <v>13</v>
      </c>
      <c r="D891" t="s">
        <v>22</v>
      </c>
      <c r="E891" s="3">
        <v>44636</v>
      </c>
      <c r="F891" t="s">
        <v>33</v>
      </c>
      <c r="G891" s="2">
        <v>44924</v>
      </c>
      <c r="H891" t="s">
        <v>87</v>
      </c>
      <c r="I891" s="2">
        <v>45139</v>
      </c>
      <c r="J891">
        <v>570.89</v>
      </c>
      <c r="K891">
        <v>80</v>
      </c>
      <c r="L891" t="s">
        <v>20</v>
      </c>
      <c r="M891">
        <f t="shared" si="39"/>
        <v>0</v>
      </c>
      <c r="N891">
        <f t="shared" si="40"/>
        <v>570.89</v>
      </c>
      <c r="O891">
        <f t="shared" si="41"/>
        <v>-570.89</v>
      </c>
    </row>
    <row r="892" spans="1:15" x14ac:dyDescent="0.2">
      <c r="A892" t="s">
        <v>88</v>
      </c>
      <c r="B892">
        <v>60540</v>
      </c>
      <c r="C892" t="s">
        <v>13</v>
      </c>
      <c r="D892" t="s">
        <v>22</v>
      </c>
      <c r="E892" s="3">
        <v>44906</v>
      </c>
      <c r="F892" t="s">
        <v>33</v>
      </c>
      <c r="G892" s="2">
        <v>44719</v>
      </c>
      <c r="H892" t="s">
        <v>89</v>
      </c>
      <c r="I892" s="2">
        <v>45139</v>
      </c>
      <c r="J892">
        <v>858.3</v>
      </c>
      <c r="K892">
        <v>80</v>
      </c>
      <c r="L892" t="s">
        <v>20</v>
      </c>
      <c r="M892">
        <f t="shared" si="39"/>
        <v>0</v>
      </c>
      <c r="N892">
        <f t="shared" si="40"/>
        <v>858.3</v>
      </c>
      <c r="O892">
        <f t="shared" si="41"/>
        <v>-858.3</v>
      </c>
    </row>
    <row r="893" spans="1:15" x14ac:dyDescent="0.2">
      <c r="A893" t="s">
        <v>86</v>
      </c>
      <c r="B893">
        <v>60565</v>
      </c>
      <c r="C893" t="s">
        <v>13</v>
      </c>
      <c r="D893" t="s">
        <v>22</v>
      </c>
      <c r="E893" s="3">
        <v>44636</v>
      </c>
      <c r="F893" t="s">
        <v>33</v>
      </c>
      <c r="G893" s="2">
        <v>44924</v>
      </c>
      <c r="H893" t="s">
        <v>87</v>
      </c>
      <c r="I893" s="2">
        <v>45170</v>
      </c>
      <c r="J893">
        <v>672.6</v>
      </c>
      <c r="K893">
        <v>84.9</v>
      </c>
      <c r="L893" t="s">
        <v>20</v>
      </c>
      <c r="M893">
        <f t="shared" si="39"/>
        <v>0</v>
      </c>
      <c r="N893">
        <f t="shared" si="40"/>
        <v>672.6</v>
      </c>
      <c r="O893">
        <f t="shared" si="41"/>
        <v>-672.6</v>
      </c>
    </row>
    <row r="894" spans="1:15" x14ac:dyDescent="0.2">
      <c r="A894" t="s">
        <v>88</v>
      </c>
      <c r="B894">
        <v>60540</v>
      </c>
      <c r="C894" t="s">
        <v>13</v>
      </c>
      <c r="D894" t="s">
        <v>22</v>
      </c>
      <c r="E894" s="3">
        <v>44906</v>
      </c>
      <c r="F894" t="s">
        <v>33</v>
      </c>
      <c r="G894" s="2">
        <v>44719</v>
      </c>
      <c r="H894" t="s">
        <v>89</v>
      </c>
      <c r="I894" s="2">
        <v>45170</v>
      </c>
      <c r="J894">
        <v>797.01</v>
      </c>
      <c r="K894">
        <v>84.9</v>
      </c>
      <c r="L894" t="s">
        <v>20</v>
      </c>
      <c r="M894">
        <f t="shared" si="39"/>
        <v>0</v>
      </c>
      <c r="N894">
        <f t="shared" si="40"/>
        <v>797.01</v>
      </c>
      <c r="O894">
        <f t="shared" si="41"/>
        <v>-797.01</v>
      </c>
    </row>
    <row r="895" spans="1:15" x14ac:dyDescent="0.2">
      <c r="A895" t="s">
        <v>86</v>
      </c>
      <c r="B895">
        <v>60565</v>
      </c>
      <c r="C895" t="s">
        <v>13</v>
      </c>
      <c r="D895" t="s">
        <v>22</v>
      </c>
      <c r="E895" s="3">
        <v>44636</v>
      </c>
      <c r="F895" t="s">
        <v>33</v>
      </c>
      <c r="G895" s="2">
        <v>44924</v>
      </c>
      <c r="H895" t="s">
        <v>87</v>
      </c>
      <c r="I895" s="2">
        <v>45200</v>
      </c>
      <c r="J895">
        <v>760.81</v>
      </c>
      <c r="K895">
        <v>80.8</v>
      </c>
      <c r="L895" t="s">
        <v>20</v>
      </c>
      <c r="M895">
        <f t="shared" si="39"/>
        <v>0</v>
      </c>
      <c r="N895">
        <f t="shared" si="40"/>
        <v>760.81</v>
      </c>
      <c r="O895">
        <f t="shared" si="41"/>
        <v>-760.81</v>
      </c>
    </row>
    <row r="896" spans="1:15" x14ac:dyDescent="0.2">
      <c r="A896" t="s">
        <v>88</v>
      </c>
      <c r="B896">
        <v>60540</v>
      </c>
      <c r="C896" t="s">
        <v>13</v>
      </c>
      <c r="D896" t="s">
        <v>22</v>
      </c>
      <c r="E896" s="3">
        <v>44906</v>
      </c>
      <c r="F896" t="s">
        <v>33</v>
      </c>
      <c r="G896" s="2">
        <v>44719</v>
      </c>
      <c r="H896" t="s">
        <v>89</v>
      </c>
      <c r="I896" s="2">
        <v>45200</v>
      </c>
      <c r="J896">
        <v>772.08</v>
      </c>
      <c r="K896">
        <v>80.8</v>
      </c>
      <c r="L896" t="s">
        <v>20</v>
      </c>
      <c r="M896">
        <f t="shared" si="39"/>
        <v>0</v>
      </c>
      <c r="N896">
        <f t="shared" si="40"/>
        <v>772.08</v>
      </c>
      <c r="O896">
        <f t="shared" si="41"/>
        <v>-772.08</v>
      </c>
    </row>
    <row r="897" spans="1:15" x14ac:dyDescent="0.2">
      <c r="A897" t="s">
        <v>86</v>
      </c>
      <c r="B897">
        <v>60565</v>
      </c>
      <c r="C897" t="s">
        <v>13</v>
      </c>
      <c r="D897" t="s">
        <v>22</v>
      </c>
      <c r="E897" s="3">
        <v>44636</v>
      </c>
      <c r="F897" t="s">
        <v>33</v>
      </c>
      <c r="G897" s="2">
        <v>44924</v>
      </c>
      <c r="H897" t="s">
        <v>87</v>
      </c>
      <c r="I897" s="2">
        <v>45231</v>
      </c>
      <c r="J897">
        <v>870.93</v>
      </c>
      <c r="K897">
        <v>46.5</v>
      </c>
      <c r="L897" t="s">
        <v>16</v>
      </c>
      <c r="M897">
        <f t="shared" si="39"/>
        <v>0</v>
      </c>
      <c r="N897">
        <f t="shared" si="40"/>
        <v>870.93</v>
      </c>
      <c r="O897">
        <f t="shared" si="41"/>
        <v>-870.93</v>
      </c>
    </row>
    <row r="898" spans="1:15" x14ac:dyDescent="0.2">
      <c r="A898" t="s">
        <v>88</v>
      </c>
      <c r="B898">
        <v>60540</v>
      </c>
      <c r="C898" t="s">
        <v>13</v>
      </c>
      <c r="D898" t="s">
        <v>22</v>
      </c>
      <c r="E898" s="3">
        <v>44906</v>
      </c>
      <c r="F898" t="s">
        <v>33</v>
      </c>
      <c r="G898" s="2">
        <v>44719</v>
      </c>
      <c r="H898" t="s">
        <v>89</v>
      </c>
      <c r="I898" s="2">
        <v>45231</v>
      </c>
      <c r="J898">
        <v>664.79</v>
      </c>
      <c r="K898">
        <v>46.5</v>
      </c>
      <c r="L898" t="s">
        <v>16</v>
      </c>
      <c r="M898">
        <f t="shared" ref="M898:M961" si="42">SUMIFS(J898,I898, "&lt;" &amp;G898,I898,"&lt;&gt;",G898,"&lt;&gt;")</f>
        <v>0</v>
      </c>
      <c r="N898">
        <f t="shared" ref="N898:N961" si="43">SUMIFS(J898,I898, "&gt;=" &amp;G898,I898,"&lt;&gt;",G898,"&lt;&gt;")</f>
        <v>664.79</v>
      </c>
      <c r="O898">
        <f t="shared" ref="O898:O961" si="44">SUM(M898-N898)</f>
        <v>-664.79</v>
      </c>
    </row>
    <row r="899" spans="1:15" x14ac:dyDescent="0.2">
      <c r="A899" t="s">
        <v>86</v>
      </c>
      <c r="B899">
        <v>60565</v>
      </c>
      <c r="C899" t="s">
        <v>13</v>
      </c>
      <c r="D899" t="s">
        <v>22</v>
      </c>
      <c r="E899" s="3">
        <v>44636</v>
      </c>
      <c r="F899" t="s">
        <v>33</v>
      </c>
      <c r="G899" s="2">
        <v>44924</v>
      </c>
      <c r="H899" t="s">
        <v>87</v>
      </c>
      <c r="I899" s="2">
        <v>45261</v>
      </c>
      <c r="J899">
        <v>782.49</v>
      </c>
      <c r="K899">
        <v>29.2</v>
      </c>
      <c r="L899" t="s">
        <v>19</v>
      </c>
      <c r="M899">
        <f t="shared" si="42"/>
        <v>0</v>
      </c>
      <c r="N899">
        <f t="shared" si="43"/>
        <v>782.49</v>
      </c>
      <c r="O899">
        <f t="shared" si="44"/>
        <v>-782.49</v>
      </c>
    </row>
    <row r="900" spans="1:15" x14ac:dyDescent="0.2">
      <c r="A900" t="s">
        <v>88</v>
      </c>
      <c r="B900">
        <v>60540</v>
      </c>
      <c r="C900" t="s">
        <v>13</v>
      </c>
      <c r="D900" t="s">
        <v>22</v>
      </c>
      <c r="E900" s="3">
        <v>44906</v>
      </c>
      <c r="F900" t="s">
        <v>33</v>
      </c>
      <c r="G900" s="2">
        <v>44719</v>
      </c>
      <c r="H900" t="s">
        <v>89</v>
      </c>
      <c r="I900" s="2">
        <v>45261</v>
      </c>
      <c r="J900">
        <v>657.47</v>
      </c>
      <c r="K900">
        <v>29.2</v>
      </c>
      <c r="L900" t="s">
        <v>19</v>
      </c>
      <c r="M900">
        <f t="shared" si="42"/>
        <v>0</v>
      </c>
      <c r="N900">
        <f t="shared" si="43"/>
        <v>657.47</v>
      </c>
      <c r="O900">
        <f t="shared" si="44"/>
        <v>-657.47</v>
      </c>
    </row>
    <row r="901" spans="1:15" x14ac:dyDescent="0.2">
      <c r="A901" t="s">
        <v>90</v>
      </c>
      <c r="B901">
        <v>60540</v>
      </c>
      <c r="C901" t="s">
        <v>13</v>
      </c>
      <c r="D901" t="s">
        <v>22</v>
      </c>
      <c r="E901" s="3">
        <v>44661</v>
      </c>
      <c r="F901" t="s">
        <v>33</v>
      </c>
      <c r="G901" s="2">
        <v>44893</v>
      </c>
      <c r="H901" t="s">
        <v>91</v>
      </c>
      <c r="I901" s="2">
        <v>44896</v>
      </c>
      <c r="J901">
        <v>916.59</v>
      </c>
      <c r="K901">
        <v>52.3</v>
      </c>
      <c r="L901" t="s">
        <v>16</v>
      </c>
      <c r="M901">
        <f t="shared" si="42"/>
        <v>0</v>
      </c>
      <c r="N901">
        <f t="shared" si="43"/>
        <v>916.59</v>
      </c>
      <c r="O901">
        <f t="shared" si="44"/>
        <v>-916.59</v>
      </c>
    </row>
    <row r="902" spans="1:15" x14ac:dyDescent="0.2">
      <c r="A902" t="s">
        <v>90</v>
      </c>
      <c r="B902">
        <v>60540</v>
      </c>
      <c r="C902" t="s">
        <v>13</v>
      </c>
      <c r="D902" t="s">
        <v>22</v>
      </c>
      <c r="E902" s="3">
        <v>44661</v>
      </c>
      <c r="F902" t="s">
        <v>33</v>
      </c>
      <c r="G902" s="2">
        <v>44893</v>
      </c>
      <c r="H902" t="s">
        <v>91</v>
      </c>
      <c r="I902" s="2">
        <v>44927</v>
      </c>
      <c r="J902">
        <v>645.74</v>
      </c>
      <c r="K902">
        <v>76.2</v>
      </c>
      <c r="L902" t="s">
        <v>20</v>
      </c>
      <c r="M902">
        <f t="shared" si="42"/>
        <v>0</v>
      </c>
      <c r="N902">
        <f t="shared" si="43"/>
        <v>645.74</v>
      </c>
      <c r="O902">
        <f t="shared" si="44"/>
        <v>-645.74</v>
      </c>
    </row>
    <row r="903" spans="1:15" x14ac:dyDescent="0.2">
      <c r="A903" t="s">
        <v>90</v>
      </c>
      <c r="B903">
        <v>60540</v>
      </c>
      <c r="C903" t="s">
        <v>13</v>
      </c>
      <c r="D903" t="s">
        <v>22</v>
      </c>
      <c r="E903" s="3">
        <v>44661</v>
      </c>
      <c r="F903" t="s">
        <v>33</v>
      </c>
      <c r="G903" s="2">
        <v>44893</v>
      </c>
      <c r="H903" t="s">
        <v>91</v>
      </c>
      <c r="I903" s="2">
        <v>44958</v>
      </c>
      <c r="J903">
        <v>787.71</v>
      </c>
      <c r="K903">
        <v>73.7</v>
      </c>
      <c r="L903" t="s">
        <v>20</v>
      </c>
      <c r="M903">
        <f t="shared" si="42"/>
        <v>0</v>
      </c>
      <c r="N903">
        <f t="shared" si="43"/>
        <v>787.71</v>
      </c>
      <c r="O903">
        <f t="shared" si="44"/>
        <v>-787.71</v>
      </c>
    </row>
    <row r="904" spans="1:15" x14ac:dyDescent="0.2">
      <c r="A904" t="s">
        <v>90</v>
      </c>
      <c r="B904">
        <v>60540</v>
      </c>
      <c r="C904" t="s">
        <v>13</v>
      </c>
      <c r="D904" t="s">
        <v>22</v>
      </c>
      <c r="E904" s="3">
        <v>44661</v>
      </c>
      <c r="F904" t="s">
        <v>33</v>
      </c>
      <c r="G904" s="2">
        <v>44893</v>
      </c>
      <c r="H904" t="s">
        <v>91</v>
      </c>
      <c r="I904" s="2">
        <v>44986</v>
      </c>
      <c r="J904">
        <v>746.37</v>
      </c>
      <c r="K904">
        <v>52.8</v>
      </c>
      <c r="L904" t="s">
        <v>16</v>
      </c>
      <c r="M904">
        <f t="shared" si="42"/>
        <v>0</v>
      </c>
      <c r="N904">
        <f t="shared" si="43"/>
        <v>746.37</v>
      </c>
      <c r="O904">
        <f t="shared" si="44"/>
        <v>-746.37</v>
      </c>
    </row>
    <row r="905" spans="1:15" x14ac:dyDescent="0.2">
      <c r="A905" t="s">
        <v>90</v>
      </c>
      <c r="B905">
        <v>60540</v>
      </c>
      <c r="C905" t="s">
        <v>13</v>
      </c>
      <c r="D905" t="s">
        <v>22</v>
      </c>
      <c r="E905" s="3">
        <v>44661</v>
      </c>
      <c r="F905" t="s">
        <v>33</v>
      </c>
      <c r="G905" s="2">
        <v>44893</v>
      </c>
      <c r="H905" t="s">
        <v>91</v>
      </c>
      <c r="I905" s="2">
        <v>45017</v>
      </c>
      <c r="J905">
        <v>757.78</v>
      </c>
      <c r="K905">
        <v>103.1</v>
      </c>
      <c r="L905" t="s">
        <v>20</v>
      </c>
      <c r="M905">
        <f t="shared" si="42"/>
        <v>0</v>
      </c>
      <c r="N905">
        <f t="shared" si="43"/>
        <v>757.78</v>
      </c>
      <c r="O905">
        <f t="shared" si="44"/>
        <v>-757.78</v>
      </c>
    </row>
    <row r="906" spans="1:15" x14ac:dyDescent="0.2">
      <c r="A906" t="s">
        <v>90</v>
      </c>
      <c r="B906">
        <v>60540</v>
      </c>
      <c r="C906" t="s">
        <v>13</v>
      </c>
      <c r="D906" t="s">
        <v>22</v>
      </c>
      <c r="E906" s="3">
        <v>44661</v>
      </c>
      <c r="F906" t="s">
        <v>33</v>
      </c>
      <c r="G906" s="2">
        <v>44893</v>
      </c>
      <c r="H906" t="s">
        <v>91</v>
      </c>
      <c r="I906" s="2">
        <v>45047</v>
      </c>
      <c r="J906">
        <v>651.57000000000005</v>
      </c>
      <c r="K906">
        <v>40.6</v>
      </c>
      <c r="L906" t="s">
        <v>16</v>
      </c>
      <c r="M906">
        <f t="shared" si="42"/>
        <v>0</v>
      </c>
      <c r="N906">
        <f t="shared" si="43"/>
        <v>651.57000000000005</v>
      </c>
      <c r="O906">
        <f t="shared" si="44"/>
        <v>-651.57000000000005</v>
      </c>
    </row>
    <row r="907" spans="1:15" x14ac:dyDescent="0.2">
      <c r="A907" t="s">
        <v>90</v>
      </c>
      <c r="B907">
        <v>60540</v>
      </c>
      <c r="C907" t="s">
        <v>13</v>
      </c>
      <c r="D907" t="s">
        <v>22</v>
      </c>
      <c r="E907" s="3">
        <v>44661</v>
      </c>
      <c r="F907" t="s">
        <v>33</v>
      </c>
      <c r="G907" s="2">
        <v>44893</v>
      </c>
      <c r="H907" t="s">
        <v>91</v>
      </c>
      <c r="I907" s="2">
        <v>45078</v>
      </c>
      <c r="J907">
        <v>664.54</v>
      </c>
      <c r="K907">
        <v>76</v>
      </c>
      <c r="L907" t="s">
        <v>20</v>
      </c>
      <c r="M907">
        <f t="shared" si="42"/>
        <v>0</v>
      </c>
      <c r="N907">
        <f t="shared" si="43"/>
        <v>664.54</v>
      </c>
      <c r="O907">
        <f t="shared" si="44"/>
        <v>-664.54</v>
      </c>
    </row>
    <row r="908" spans="1:15" x14ac:dyDescent="0.2">
      <c r="A908" t="s">
        <v>90</v>
      </c>
      <c r="B908">
        <v>60540</v>
      </c>
      <c r="C908" t="s">
        <v>13</v>
      </c>
      <c r="D908" t="s">
        <v>22</v>
      </c>
      <c r="E908" s="3">
        <v>44661</v>
      </c>
      <c r="F908" t="s">
        <v>33</v>
      </c>
      <c r="G908" s="2">
        <v>44893</v>
      </c>
      <c r="H908" t="s">
        <v>91</v>
      </c>
      <c r="I908" s="2">
        <v>45108</v>
      </c>
      <c r="J908">
        <v>515.32000000000005</v>
      </c>
      <c r="K908">
        <v>38.9</v>
      </c>
      <c r="L908" t="s">
        <v>19</v>
      </c>
      <c r="M908">
        <f t="shared" si="42"/>
        <v>0</v>
      </c>
      <c r="N908">
        <f t="shared" si="43"/>
        <v>515.32000000000005</v>
      </c>
      <c r="O908">
        <f t="shared" si="44"/>
        <v>-515.32000000000005</v>
      </c>
    </row>
    <row r="909" spans="1:15" x14ac:dyDescent="0.2">
      <c r="A909" t="s">
        <v>90</v>
      </c>
      <c r="B909">
        <v>60540</v>
      </c>
      <c r="C909" t="s">
        <v>13</v>
      </c>
      <c r="D909" t="s">
        <v>22</v>
      </c>
      <c r="E909" s="3">
        <v>44661</v>
      </c>
      <c r="F909" t="s">
        <v>33</v>
      </c>
      <c r="G909" s="2">
        <v>44893</v>
      </c>
      <c r="H909" t="s">
        <v>91</v>
      </c>
      <c r="I909" s="2">
        <v>45139</v>
      </c>
      <c r="J909">
        <v>643.33000000000004</v>
      </c>
      <c r="K909">
        <v>80</v>
      </c>
      <c r="L909" t="s">
        <v>20</v>
      </c>
      <c r="M909">
        <f t="shared" si="42"/>
        <v>0</v>
      </c>
      <c r="N909">
        <f t="shared" si="43"/>
        <v>643.33000000000004</v>
      </c>
      <c r="O909">
        <f t="shared" si="44"/>
        <v>-643.33000000000004</v>
      </c>
    </row>
    <row r="910" spans="1:15" x14ac:dyDescent="0.2">
      <c r="A910" t="s">
        <v>90</v>
      </c>
      <c r="B910">
        <v>60540</v>
      </c>
      <c r="C910" t="s">
        <v>13</v>
      </c>
      <c r="D910" t="s">
        <v>22</v>
      </c>
      <c r="E910" s="3">
        <v>44661</v>
      </c>
      <c r="F910" t="s">
        <v>33</v>
      </c>
      <c r="G910" s="2">
        <v>44893</v>
      </c>
      <c r="H910" t="s">
        <v>91</v>
      </c>
      <c r="I910" s="2">
        <v>45170</v>
      </c>
      <c r="J910">
        <v>816.35</v>
      </c>
      <c r="K910">
        <v>84.9</v>
      </c>
      <c r="L910" t="s">
        <v>20</v>
      </c>
      <c r="M910">
        <f t="shared" si="42"/>
        <v>0</v>
      </c>
      <c r="N910">
        <f t="shared" si="43"/>
        <v>816.35</v>
      </c>
      <c r="O910">
        <f t="shared" si="44"/>
        <v>-816.35</v>
      </c>
    </row>
    <row r="911" spans="1:15" x14ac:dyDescent="0.2">
      <c r="A911" t="s">
        <v>90</v>
      </c>
      <c r="B911">
        <v>60540</v>
      </c>
      <c r="C911" t="s">
        <v>13</v>
      </c>
      <c r="D911" t="s">
        <v>22</v>
      </c>
      <c r="E911" s="3">
        <v>44661</v>
      </c>
      <c r="F911" t="s">
        <v>33</v>
      </c>
      <c r="G911" s="2">
        <v>44893</v>
      </c>
      <c r="H911" t="s">
        <v>91</v>
      </c>
      <c r="I911" s="2">
        <v>45200</v>
      </c>
      <c r="J911">
        <v>607.07000000000005</v>
      </c>
      <c r="K911">
        <v>80.8</v>
      </c>
      <c r="L911" t="s">
        <v>20</v>
      </c>
      <c r="M911">
        <f t="shared" si="42"/>
        <v>0</v>
      </c>
      <c r="N911">
        <f t="shared" si="43"/>
        <v>607.07000000000005</v>
      </c>
      <c r="O911">
        <f t="shared" si="44"/>
        <v>-607.07000000000005</v>
      </c>
    </row>
    <row r="912" spans="1:15" x14ac:dyDescent="0.2">
      <c r="A912" t="s">
        <v>90</v>
      </c>
      <c r="B912">
        <v>60540</v>
      </c>
      <c r="C912" t="s">
        <v>13</v>
      </c>
      <c r="D912" t="s">
        <v>22</v>
      </c>
      <c r="E912" s="3">
        <v>44661</v>
      </c>
      <c r="F912" t="s">
        <v>33</v>
      </c>
      <c r="G912" s="2">
        <v>44893</v>
      </c>
      <c r="H912" t="s">
        <v>91</v>
      </c>
      <c r="I912" s="2">
        <v>45231</v>
      </c>
      <c r="J912">
        <v>621.97</v>
      </c>
      <c r="K912">
        <v>46.5</v>
      </c>
      <c r="L912" t="s">
        <v>16</v>
      </c>
      <c r="M912">
        <f t="shared" si="42"/>
        <v>0</v>
      </c>
      <c r="N912">
        <f t="shared" si="43"/>
        <v>621.97</v>
      </c>
      <c r="O912">
        <f t="shared" si="44"/>
        <v>-621.97</v>
      </c>
    </row>
    <row r="913" spans="1:15" x14ac:dyDescent="0.2">
      <c r="A913" t="s">
        <v>90</v>
      </c>
      <c r="B913">
        <v>60540</v>
      </c>
      <c r="C913" t="s">
        <v>13</v>
      </c>
      <c r="D913" t="s">
        <v>22</v>
      </c>
      <c r="E913" s="3">
        <v>44661</v>
      </c>
      <c r="F913" t="s">
        <v>33</v>
      </c>
      <c r="G913" s="2">
        <v>44893</v>
      </c>
      <c r="H913" t="s">
        <v>91</v>
      </c>
      <c r="I913" s="2">
        <v>45261</v>
      </c>
      <c r="J913">
        <v>764.02</v>
      </c>
      <c r="K913">
        <v>29.2</v>
      </c>
      <c r="L913" t="s">
        <v>19</v>
      </c>
      <c r="M913">
        <f t="shared" si="42"/>
        <v>0</v>
      </c>
      <c r="N913">
        <f t="shared" si="43"/>
        <v>764.02</v>
      </c>
      <c r="O913">
        <f t="shared" si="44"/>
        <v>-764.02</v>
      </c>
    </row>
    <row r="914" spans="1:15" x14ac:dyDescent="0.2">
      <c r="A914" t="s">
        <v>92</v>
      </c>
      <c r="B914">
        <v>60540</v>
      </c>
      <c r="C914" t="s">
        <v>13</v>
      </c>
      <c r="D914" t="s">
        <v>14</v>
      </c>
      <c r="E914" s="3">
        <v>44814</v>
      </c>
      <c r="F914" t="s">
        <v>39</v>
      </c>
      <c r="G914" s="2">
        <v>44957</v>
      </c>
      <c r="H914" t="s">
        <v>93</v>
      </c>
      <c r="I914" s="2">
        <v>44562</v>
      </c>
      <c r="J914">
        <v>727.92</v>
      </c>
      <c r="K914">
        <v>43</v>
      </c>
      <c r="L914" t="s">
        <v>16</v>
      </c>
      <c r="M914">
        <f t="shared" si="42"/>
        <v>727.92</v>
      </c>
      <c r="N914">
        <f t="shared" si="43"/>
        <v>0</v>
      </c>
      <c r="O914">
        <f t="shared" si="44"/>
        <v>727.92</v>
      </c>
    </row>
    <row r="915" spans="1:15" x14ac:dyDescent="0.2">
      <c r="A915" t="s">
        <v>92</v>
      </c>
      <c r="B915">
        <v>60540</v>
      </c>
      <c r="C915" t="s">
        <v>13</v>
      </c>
      <c r="D915" t="s">
        <v>14</v>
      </c>
      <c r="E915" s="3">
        <v>44814</v>
      </c>
      <c r="F915" t="s">
        <v>39</v>
      </c>
      <c r="G915" s="2">
        <v>44957</v>
      </c>
      <c r="H915" t="s">
        <v>93</v>
      </c>
      <c r="I915" s="2">
        <v>44593</v>
      </c>
      <c r="J915">
        <v>848.39</v>
      </c>
      <c r="K915">
        <v>26.4</v>
      </c>
      <c r="L915" t="s">
        <v>19</v>
      </c>
      <c r="M915">
        <f t="shared" si="42"/>
        <v>848.39</v>
      </c>
      <c r="N915">
        <f t="shared" si="43"/>
        <v>0</v>
      </c>
      <c r="O915">
        <f t="shared" si="44"/>
        <v>848.39</v>
      </c>
    </row>
    <row r="916" spans="1:15" x14ac:dyDescent="0.2">
      <c r="A916" t="s">
        <v>92</v>
      </c>
      <c r="B916">
        <v>60540</v>
      </c>
      <c r="C916" t="s">
        <v>13</v>
      </c>
      <c r="D916" t="s">
        <v>14</v>
      </c>
      <c r="E916" s="3">
        <v>44814</v>
      </c>
      <c r="F916" t="s">
        <v>39</v>
      </c>
      <c r="G916" s="2">
        <v>44957</v>
      </c>
      <c r="H916" t="s">
        <v>93</v>
      </c>
      <c r="I916" s="2">
        <v>44621</v>
      </c>
      <c r="J916">
        <v>880.52</v>
      </c>
      <c r="K916">
        <v>29.5</v>
      </c>
      <c r="L916" t="s">
        <v>19</v>
      </c>
      <c r="M916">
        <f t="shared" si="42"/>
        <v>880.52</v>
      </c>
      <c r="N916">
        <f t="shared" si="43"/>
        <v>0</v>
      </c>
      <c r="O916">
        <f t="shared" si="44"/>
        <v>880.52</v>
      </c>
    </row>
    <row r="917" spans="1:15" x14ac:dyDescent="0.2">
      <c r="A917" t="s">
        <v>92</v>
      </c>
      <c r="B917">
        <v>60540</v>
      </c>
      <c r="C917" t="s">
        <v>13</v>
      </c>
      <c r="D917" t="s">
        <v>14</v>
      </c>
      <c r="E917" s="3">
        <v>44814</v>
      </c>
      <c r="F917" t="s">
        <v>39</v>
      </c>
      <c r="G917" s="2">
        <v>44957</v>
      </c>
      <c r="H917" t="s">
        <v>93</v>
      </c>
      <c r="I917" s="2">
        <v>44652</v>
      </c>
      <c r="J917">
        <v>678.1</v>
      </c>
      <c r="K917">
        <v>50.8</v>
      </c>
      <c r="L917" t="s">
        <v>16</v>
      </c>
      <c r="M917">
        <f t="shared" si="42"/>
        <v>678.1</v>
      </c>
      <c r="N917">
        <f t="shared" si="43"/>
        <v>0</v>
      </c>
      <c r="O917">
        <f t="shared" si="44"/>
        <v>678.1</v>
      </c>
    </row>
    <row r="918" spans="1:15" x14ac:dyDescent="0.2">
      <c r="A918" t="s">
        <v>92</v>
      </c>
      <c r="B918">
        <v>60540</v>
      </c>
      <c r="C918" t="s">
        <v>13</v>
      </c>
      <c r="D918" t="s">
        <v>14</v>
      </c>
      <c r="E918" s="3">
        <v>44814</v>
      </c>
      <c r="F918" t="s">
        <v>39</v>
      </c>
      <c r="G918" s="2">
        <v>44957</v>
      </c>
      <c r="H918" t="s">
        <v>93</v>
      </c>
      <c r="I918" s="2">
        <v>44682</v>
      </c>
      <c r="J918">
        <v>794.84</v>
      </c>
      <c r="K918">
        <v>46.3</v>
      </c>
      <c r="L918" t="s">
        <v>16</v>
      </c>
      <c r="M918">
        <f t="shared" si="42"/>
        <v>794.84</v>
      </c>
      <c r="N918">
        <f t="shared" si="43"/>
        <v>0</v>
      </c>
      <c r="O918">
        <f t="shared" si="44"/>
        <v>794.84</v>
      </c>
    </row>
    <row r="919" spans="1:15" x14ac:dyDescent="0.2">
      <c r="A919" t="s">
        <v>92</v>
      </c>
      <c r="B919">
        <v>60540</v>
      </c>
      <c r="C919" t="s">
        <v>13</v>
      </c>
      <c r="D919" t="s">
        <v>14</v>
      </c>
      <c r="E919" s="3">
        <v>44814</v>
      </c>
      <c r="F919" t="s">
        <v>39</v>
      </c>
      <c r="G919" s="2">
        <v>44957</v>
      </c>
      <c r="H919" t="s">
        <v>93</v>
      </c>
      <c r="I919" s="2">
        <v>44713</v>
      </c>
      <c r="J919">
        <v>819.66</v>
      </c>
      <c r="K919">
        <v>61.1</v>
      </c>
      <c r="L919" t="s">
        <v>16</v>
      </c>
      <c r="M919">
        <f t="shared" si="42"/>
        <v>819.66</v>
      </c>
      <c r="N919">
        <f t="shared" si="43"/>
        <v>0</v>
      </c>
      <c r="O919">
        <f t="shared" si="44"/>
        <v>819.66</v>
      </c>
    </row>
    <row r="920" spans="1:15" x14ac:dyDescent="0.2">
      <c r="A920" t="s">
        <v>92</v>
      </c>
      <c r="B920">
        <v>60540</v>
      </c>
      <c r="C920" t="s">
        <v>13</v>
      </c>
      <c r="D920" t="s">
        <v>14</v>
      </c>
      <c r="E920" s="3">
        <v>44814</v>
      </c>
      <c r="F920" t="s">
        <v>39</v>
      </c>
      <c r="G920" s="2">
        <v>44957</v>
      </c>
      <c r="H920" t="s">
        <v>93</v>
      </c>
      <c r="I920" s="2">
        <v>44743</v>
      </c>
      <c r="J920">
        <v>818.38</v>
      </c>
      <c r="K920">
        <v>27.4</v>
      </c>
      <c r="L920" t="s">
        <v>19</v>
      </c>
      <c r="M920">
        <f t="shared" si="42"/>
        <v>818.38</v>
      </c>
      <c r="N920">
        <f t="shared" si="43"/>
        <v>0</v>
      </c>
      <c r="O920">
        <f t="shared" si="44"/>
        <v>818.38</v>
      </c>
    </row>
    <row r="921" spans="1:15" x14ac:dyDescent="0.2">
      <c r="A921" t="s">
        <v>92</v>
      </c>
      <c r="B921">
        <v>60540</v>
      </c>
      <c r="C921" t="s">
        <v>13</v>
      </c>
      <c r="D921" t="s">
        <v>14</v>
      </c>
      <c r="E921" s="3">
        <v>44814</v>
      </c>
      <c r="F921" t="s">
        <v>39</v>
      </c>
      <c r="G921" s="2">
        <v>44957</v>
      </c>
      <c r="H921" t="s">
        <v>93</v>
      </c>
      <c r="I921" s="2">
        <v>44774</v>
      </c>
      <c r="J921">
        <v>816.68</v>
      </c>
      <c r="K921">
        <v>54.2</v>
      </c>
      <c r="L921" t="s">
        <v>16</v>
      </c>
      <c r="M921">
        <f t="shared" si="42"/>
        <v>816.68</v>
      </c>
      <c r="N921">
        <f t="shared" si="43"/>
        <v>0</v>
      </c>
      <c r="O921">
        <f t="shared" si="44"/>
        <v>816.68</v>
      </c>
    </row>
    <row r="922" spans="1:15" x14ac:dyDescent="0.2">
      <c r="A922" t="s">
        <v>92</v>
      </c>
      <c r="B922">
        <v>60540</v>
      </c>
      <c r="C922" t="s">
        <v>13</v>
      </c>
      <c r="D922" t="s">
        <v>14</v>
      </c>
      <c r="E922" s="3">
        <v>44814</v>
      </c>
      <c r="F922" t="s">
        <v>39</v>
      </c>
      <c r="G922" s="2">
        <v>44957</v>
      </c>
      <c r="H922" t="s">
        <v>93</v>
      </c>
      <c r="I922" s="2">
        <v>44805</v>
      </c>
      <c r="J922">
        <v>759.8</v>
      </c>
      <c r="K922">
        <v>41.9</v>
      </c>
      <c r="L922" t="s">
        <v>16</v>
      </c>
      <c r="M922">
        <f t="shared" si="42"/>
        <v>759.8</v>
      </c>
      <c r="N922">
        <f t="shared" si="43"/>
        <v>0</v>
      </c>
      <c r="O922">
        <f t="shared" si="44"/>
        <v>759.8</v>
      </c>
    </row>
    <row r="923" spans="1:15" x14ac:dyDescent="0.2">
      <c r="A923" t="s">
        <v>92</v>
      </c>
      <c r="B923">
        <v>60540</v>
      </c>
      <c r="C923" t="s">
        <v>13</v>
      </c>
      <c r="D923" t="s">
        <v>14</v>
      </c>
      <c r="E923" s="3">
        <v>44814</v>
      </c>
      <c r="F923" t="s">
        <v>39</v>
      </c>
      <c r="G923" s="2">
        <v>44957</v>
      </c>
      <c r="H923" t="s">
        <v>93</v>
      </c>
      <c r="I923" s="2">
        <v>44835</v>
      </c>
      <c r="J923">
        <v>827.9</v>
      </c>
      <c r="K923">
        <v>74.099999999999994</v>
      </c>
      <c r="L923" t="s">
        <v>20</v>
      </c>
      <c r="M923">
        <f t="shared" si="42"/>
        <v>827.9</v>
      </c>
      <c r="N923">
        <f t="shared" si="43"/>
        <v>0</v>
      </c>
      <c r="O923">
        <f t="shared" si="44"/>
        <v>827.9</v>
      </c>
    </row>
    <row r="924" spans="1:15" x14ac:dyDescent="0.2">
      <c r="A924" t="s">
        <v>92</v>
      </c>
      <c r="B924">
        <v>60540</v>
      </c>
      <c r="C924" t="s">
        <v>13</v>
      </c>
      <c r="D924" t="s">
        <v>14</v>
      </c>
      <c r="E924" s="3">
        <v>44814</v>
      </c>
      <c r="F924" t="s">
        <v>39</v>
      </c>
      <c r="G924" s="2">
        <v>44957</v>
      </c>
      <c r="H924" t="s">
        <v>93</v>
      </c>
      <c r="I924" s="2">
        <v>44866</v>
      </c>
      <c r="J924">
        <v>861.8</v>
      </c>
      <c r="K924">
        <v>42.6</v>
      </c>
      <c r="L924" t="s">
        <v>16</v>
      </c>
      <c r="M924">
        <f t="shared" si="42"/>
        <v>861.8</v>
      </c>
      <c r="N924">
        <f t="shared" si="43"/>
        <v>0</v>
      </c>
      <c r="O924">
        <f t="shared" si="44"/>
        <v>861.8</v>
      </c>
    </row>
    <row r="925" spans="1:15" x14ac:dyDescent="0.2">
      <c r="A925" t="s">
        <v>92</v>
      </c>
      <c r="B925">
        <v>60540</v>
      </c>
      <c r="C925" t="s">
        <v>13</v>
      </c>
      <c r="D925" t="s">
        <v>14</v>
      </c>
      <c r="E925" s="3">
        <v>44814</v>
      </c>
      <c r="F925" t="s">
        <v>39</v>
      </c>
      <c r="G925" s="2">
        <v>44957</v>
      </c>
      <c r="H925" t="s">
        <v>93</v>
      </c>
      <c r="I925" s="2">
        <v>44896</v>
      </c>
      <c r="J925">
        <v>814.1</v>
      </c>
      <c r="K925">
        <v>52.3</v>
      </c>
      <c r="L925" t="s">
        <v>16</v>
      </c>
      <c r="M925">
        <f t="shared" si="42"/>
        <v>814.1</v>
      </c>
      <c r="N925">
        <f t="shared" si="43"/>
        <v>0</v>
      </c>
      <c r="O925">
        <f t="shared" si="44"/>
        <v>814.1</v>
      </c>
    </row>
    <row r="926" spans="1:15" x14ac:dyDescent="0.2">
      <c r="A926" t="s">
        <v>92</v>
      </c>
      <c r="B926">
        <v>60540</v>
      </c>
      <c r="C926" t="s">
        <v>13</v>
      </c>
      <c r="D926" t="s">
        <v>14</v>
      </c>
      <c r="E926" s="3">
        <v>44814</v>
      </c>
      <c r="F926" t="s">
        <v>39</v>
      </c>
      <c r="G926" s="2">
        <v>44957</v>
      </c>
      <c r="H926" t="s">
        <v>93</v>
      </c>
      <c r="I926" s="2">
        <v>44927</v>
      </c>
      <c r="J926">
        <v>750.59</v>
      </c>
      <c r="K926">
        <v>76.2</v>
      </c>
      <c r="L926" t="s">
        <v>20</v>
      </c>
      <c r="M926">
        <f t="shared" si="42"/>
        <v>750.59</v>
      </c>
      <c r="N926">
        <f t="shared" si="43"/>
        <v>0</v>
      </c>
      <c r="O926">
        <f t="shared" si="44"/>
        <v>750.59</v>
      </c>
    </row>
    <row r="927" spans="1:15" x14ac:dyDescent="0.2">
      <c r="A927" t="s">
        <v>92</v>
      </c>
      <c r="B927">
        <v>60540</v>
      </c>
      <c r="C927" t="s">
        <v>13</v>
      </c>
      <c r="D927" t="s">
        <v>14</v>
      </c>
      <c r="E927" s="3">
        <v>44814</v>
      </c>
      <c r="F927" t="s">
        <v>39</v>
      </c>
      <c r="G927" s="2">
        <v>44957</v>
      </c>
      <c r="H927" t="s">
        <v>93</v>
      </c>
      <c r="I927" s="2">
        <v>44958</v>
      </c>
      <c r="J927">
        <v>799.04</v>
      </c>
      <c r="K927">
        <v>73.7</v>
      </c>
      <c r="L927" t="s">
        <v>20</v>
      </c>
      <c r="M927">
        <f t="shared" si="42"/>
        <v>0</v>
      </c>
      <c r="N927">
        <f t="shared" si="43"/>
        <v>799.04</v>
      </c>
      <c r="O927">
        <f t="shared" si="44"/>
        <v>-799.04</v>
      </c>
    </row>
    <row r="928" spans="1:15" x14ac:dyDescent="0.2">
      <c r="A928" t="s">
        <v>92</v>
      </c>
      <c r="B928">
        <v>60540</v>
      </c>
      <c r="C928" t="s">
        <v>13</v>
      </c>
      <c r="D928" t="s">
        <v>14</v>
      </c>
      <c r="E928" s="3">
        <v>44814</v>
      </c>
      <c r="F928" t="s">
        <v>39</v>
      </c>
      <c r="G928" s="2">
        <v>44957</v>
      </c>
      <c r="H928" t="s">
        <v>93</v>
      </c>
      <c r="I928" s="2">
        <v>44986</v>
      </c>
      <c r="J928">
        <v>514.91</v>
      </c>
      <c r="K928">
        <v>52.8</v>
      </c>
      <c r="L928" t="s">
        <v>16</v>
      </c>
      <c r="M928">
        <f t="shared" si="42"/>
        <v>0</v>
      </c>
      <c r="N928">
        <f t="shared" si="43"/>
        <v>514.91</v>
      </c>
      <c r="O928">
        <f t="shared" si="44"/>
        <v>-514.91</v>
      </c>
    </row>
    <row r="929" spans="1:15" x14ac:dyDescent="0.2">
      <c r="A929" t="s">
        <v>92</v>
      </c>
      <c r="B929">
        <v>60540</v>
      </c>
      <c r="C929" t="s">
        <v>13</v>
      </c>
      <c r="D929" t="s">
        <v>14</v>
      </c>
      <c r="E929" s="3">
        <v>44814</v>
      </c>
      <c r="F929" t="s">
        <v>39</v>
      </c>
      <c r="G929" s="2">
        <v>44957</v>
      </c>
      <c r="H929" t="s">
        <v>93</v>
      </c>
      <c r="I929" s="2">
        <v>45017</v>
      </c>
      <c r="J929">
        <v>794.35</v>
      </c>
      <c r="K929">
        <v>103.1</v>
      </c>
      <c r="L929" t="s">
        <v>20</v>
      </c>
      <c r="M929">
        <f t="shared" si="42"/>
        <v>0</v>
      </c>
      <c r="N929">
        <f t="shared" si="43"/>
        <v>794.35</v>
      </c>
      <c r="O929">
        <f t="shared" si="44"/>
        <v>-794.35</v>
      </c>
    </row>
    <row r="930" spans="1:15" x14ac:dyDescent="0.2">
      <c r="A930" t="s">
        <v>92</v>
      </c>
      <c r="B930">
        <v>60540</v>
      </c>
      <c r="C930" t="s">
        <v>13</v>
      </c>
      <c r="D930" t="s">
        <v>14</v>
      </c>
      <c r="E930" s="3">
        <v>44814</v>
      </c>
      <c r="F930" t="s">
        <v>39</v>
      </c>
      <c r="G930" s="2">
        <v>44957</v>
      </c>
      <c r="H930" t="s">
        <v>93</v>
      </c>
      <c r="I930" s="2">
        <v>45047</v>
      </c>
      <c r="J930">
        <v>734.24</v>
      </c>
      <c r="K930">
        <v>40.6</v>
      </c>
      <c r="L930" t="s">
        <v>16</v>
      </c>
      <c r="M930">
        <f t="shared" si="42"/>
        <v>0</v>
      </c>
      <c r="N930">
        <f t="shared" si="43"/>
        <v>734.24</v>
      </c>
      <c r="O930">
        <f t="shared" si="44"/>
        <v>-734.24</v>
      </c>
    </row>
    <row r="931" spans="1:15" x14ac:dyDescent="0.2">
      <c r="A931" t="s">
        <v>92</v>
      </c>
      <c r="B931">
        <v>60540</v>
      </c>
      <c r="C931" t="s">
        <v>13</v>
      </c>
      <c r="D931" t="s">
        <v>14</v>
      </c>
      <c r="E931" s="3">
        <v>44814</v>
      </c>
      <c r="F931" t="s">
        <v>39</v>
      </c>
      <c r="G931" s="2">
        <v>44957</v>
      </c>
      <c r="H931" t="s">
        <v>93</v>
      </c>
      <c r="I931" s="2">
        <v>45078</v>
      </c>
      <c r="J931">
        <v>588.84</v>
      </c>
      <c r="K931">
        <v>76</v>
      </c>
      <c r="L931" t="s">
        <v>20</v>
      </c>
      <c r="M931">
        <f t="shared" si="42"/>
        <v>0</v>
      </c>
      <c r="N931">
        <f t="shared" si="43"/>
        <v>588.84</v>
      </c>
      <c r="O931">
        <f t="shared" si="44"/>
        <v>-588.84</v>
      </c>
    </row>
    <row r="932" spans="1:15" x14ac:dyDescent="0.2">
      <c r="A932" t="s">
        <v>92</v>
      </c>
      <c r="B932">
        <v>60540</v>
      </c>
      <c r="C932" t="s">
        <v>13</v>
      </c>
      <c r="D932" t="s">
        <v>14</v>
      </c>
      <c r="E932" s="3">
        <v>44814</v>
      </c>
      <c r="F932" t="s">
        <v>39</v>
      </c>
      <c r="G932" s="2">
        <v>44957</v>
      </c>
      <c r="H932" t="s">
        <v>93</v>
      </c>
      <c r="I932" s="2">
        <v>45108</v>
      </c>
      <c r="J932">
        <v>780.25</v>
      </c>
      <c r="K932">
        <v>38.9</v>
      </c>
      <c r="L932" t="s">
        <v>19</v>
      </c>
      <c r="M932">
        <f t="shared" si="42"/>
        <v>0</v>
      </c>
      <c r="N932">
        <f t="shared" si="43"/>
        <v>780.25</v>
      </c>
      <c r="O932">
        <f t="shared" si="44"/>
        <v>-780.25</v>
      </c>
    </row>
    <row r="933" spans="1:15" x14ac:dyDescent="0.2">
      <c r="A933" t="s">
        <v>92</v>
      </c>
      <c r="B933">
        <v>60540</v>
      </c>
      <c r="C933" t="s">
        <v>13</v>
      </c>
      <c r="D933" t="s">
        <v>14</v>
      </c>
      <c r="E933" s="3">
        <v>44814</v>
      </c>
      <c r="F933" t="s">
        <v>39</v>
      </c>
      <c r="G933" s="2">
        <v>44957</v>
      </c>
      <c r="H933" t="s">
        <v>93</v>
      </c>
      <c r="I933" s="2">
        <v>45139</v>
      </c>
      <c r="J933">
        <v>660.17</v>
      </c>
      <c r="K933">
        <v>80</v>
      </c>
      <c r="L933" t="s">
        <v>20</v>
      </c>
      <c r="M933">
        <f t="shared" si="42"/>
        <v>0</v>
      </c>
      <c r="N933">
        <f t="shared" si="43"/>
        <v>660.17</v>
      </c>
      <c r="O933">
        <f t="shared" si="44"/>
        <v>-660.17</v>
      </c>
    </row>
    <row r="934" spans="1:15" x14ac:dyDescent="0.2">
      <c r="A934" t="s">
        <v>92</v>
      </c>
      <c r="B934">
        <v>60540</v>
      </c>
      <c r="C934" t="s">
        <v>13</v>
      </c>
      <c r="D934" t="s">
        <v>14</v>
      </c>
      <c r="E934" s="3">
        <v>44814</v>
      </c>
      <c r="F934" t="s">
        <v>39</v>
      </c>
      <c r="G934" s="2">
        <v>44957</v>
      </c>
      <c r="H934" t="s">
        <v>93</v>
      </c>
      <c r="I934" s="2">
        <v>45170</v>
      </c>
      <c r="J934">
        <v>673.8</v>
      </c>
      <c r="K934">
        <v>84.9</v>
      </c>
      <c r="L934" t="s">
        <v>20</v>
      </c>
      <c r="M934">
        <f t="shared" si="42"/>
        <v>0</v>
      </c>
      <c r="N934">
        <f t="shared" si="43"/>
        <v>673.8</v>
      </c>
      <c r="O934">
        <f t="shared" si="44"/>
        <v>-673.8</v>
      </c>
    </row>
    <row r="935" spans="1:15" x14ac:dyDescent="0.2">
      <c r="A935" t="s">
        <v>92</v>
      </c>
      <c r="B935">
        <v>60540</v>
      </c>
      <c r="C935" t="s">
        <v>13</v>
      </c>
      <c r="D935" t="s">
        <v>14</v>
      </c>
      <c r="E935" s="3">
        <v>44814</v>
      </c>
      <c r="F935" t="s">
        <v>39</v>
      </c>
      <c r="G935" s="2">
        <v>44957</v>
      </c>
      <c r="H935" t="s">
        <v>93</v>
      </c>
      <c r="I935" s="2">
        <v>45200</v>
      </c>
      <c r="J935">
        <v>649.23</v>
      </c>
      <c r="K935">
        <v>80.8</v>
      </c>
      <c r="L935" t="s">
        <v>20</v>
      </c>
      <c r="M935">
        <f t="shared" si="42"/>
        <v>0</v>
      </c>
      <c r="N935">
        <f t="shared" si="43"/>
        <v>649.23</v>
      </c>
      <c r="O935">
        <f t="shared" si="44"/>
        <v>-649.23</v>
      </c>
    </row>
    <row r="936" spans="1:15" x14ac:dyDescent="0.2">
      <c r="A936" t="s">
        <v>92</v>
      </c>
      <c r="B936">
        <v>60540</v>
      </c>
      <c r="C936" t="s">
        <v>13</v>
      </c>
      <c r="D936" t="s">
        <v>14</v>
      </c>
      <c r="E936" s="3">
        <v>44814</v>
      </c>
      <c r="F936" t="s">
        <v>39</v>
      </c>
      <c r="G936" s="2">
        <v>44957</v>
      </c>
      <c r="H936" t="s">
        <v>93</v>
      </c>
      <c r="I936" s="2">
        <v>45231</v>
      </c>
      <c r="J936">
        <v>730.24</v>
      </c>
      <c r="K936">
        <v>46.5</v>
      </c>
      <c r="L936" t="s">
        <v>16</v>
      </c>
      <c r="M936">
        <f t="shared" si="42"/>
        <v>0</v>
      </c>
      <c r="N936">
        <f t="shared" si="43"/>
        <v>730.24</v>
      </c>
      <c r="O936">
        <f t="shared" si="44"/>
        <v>-730.24</v>
      </c>
    </row>
    <row r="937" spans="1:15" x14ac:dyDescent="0.2">
      <c r="A937" t="s">
        <v>92</v>
      </c>
      <c r="B937">
        <v>60540</v>
      </c>
      <c r="C937" t="s">
        <v>13</v>
      </c>
      <c r="D937" t="s">
        <v>14</v>
      </c>
      <c r="E937" s="3">
        <v>44814</v>
      </c>
      <c r="F937" t="s">
        <v>39</v>
      </c>
      <c r="G937" s="2">
        <v>44957</v>
      </c>
      <c r="H937" t="s">
        <v>93</v>
      </c>
      <c r="I937" s="2">
        <v>45261</v>
      </c>
      <c r="J937">
        <v>621.46</v>
      </c>
      <c r="K937">
        <v>29.2</v>
      </c>
      <c r="L937" t="s">
        <v>19</v>
      </c>
      <c r="M937">
        <f t="shared" si="42"/>
        <v>0</v>
      </c>
      <c r="N937">
        <f t="shared" si="43"/>
        <v>621.46</v>
      </c>
      <c r="O937">
        <f t="shared" si="44"/>
        <v>-621.46</v>
      </c>
    </row>
    <row r="938" spans="1:15" x14ac:dyDescent="0.2">
      <c r="A938" t="s">
        <v>94</v>
      </c>
      <c r="B938">
        <v>60565</v>
      </c>
      <c r="C938" t="s">
        <v>13</v>
      </c>
      <c r="D938" t="s">
        <v>14</v>
      </c>
      <c r="E938" s="3">
        <v>44585</v>
      </c>
      <c r="F938" t="s">
        <v>46</v>
      </c>
      <c r="G938" s="2">
        <v>44957</v>
      </c>
      <c r="H938" t="s">
        <v>95</v>
      </c>
      <c r="I938" s="2">
        <v>44562</v>
      </c>
      <c r="J938">
        <v>829.81</v>
      </c>
      <c r="K938">
        <v>43</v>
      </c>
      <c r="L938" t="s">
        <v>16</v>
      </c>
      <c r="M938">
        <f t="shared" si="42"/>
        <v>829.81</v>
      </c>
      <c r="N938">
        <f t="shared" si="43"/>
        <v>0</v>
      </c>
      <c r="O938">
        <f t="shared" si="44"/>
        <v>829.81</v>
      </c>
    </row>
    <row r="939" spans="1:15" x14ac:dyDescent="0.2">
      <c r="A939" t="s">
        <v>94</v>
      </c>
      <c r="B939">
        <v>60565</v>
      </c>
      <c r="C939" t="s">
        <v>13</v>
      </c>
      <c r="D939" t="s">
        <v>14</v>
      </c>
      <c r="E939" s="3">
        <v>44585</v>
      </c>
      <c r="F939" t="s">
        <v>46</v>
      </c>
      <c r="G939" s="2">
        <v>44957</v>
      </c>
      <c r="H939" t="s">
        <v>95</v>
      </c>
      <c r="I939" s="2">
        <v>44593</v>
      </c>
      <c r="J939">
        <v>900.19</v>
      </c>
      <c r="K939">
        <v>26.4</v>
      </c>
      <c r="L939" t="s">
        <v>19</v>
      </c>
      <c r="M939">
        <f t="shared" si="42"/>
        <v>900.19</v>
      </c>
      <c r="N939">
        <f t="shared" si="43"/>
        <v>0</v>
      </c>
      <c r="O939">
        <f t="shared" si="44"/>
        <v>900.19</v>
      </c>
    </row>
    <row r="940" spans="1:15" x14ac:dyDescent="0.2">
      <c r="A940" t="s">
        <v>94</v>
      </c>
      <c r="B940">
        <v>60565</v>
      </c>
      <c r="C940" t="s">
        <v>13</v>
      </c>
      <c r="D940" t="s">
        <v>14</v>
      </c>
      <c r="E940" s="3">
        <v>44585</v>
      </c>
      <c r="F940" t="s">
        <v>46</v>
      </c>
      <c r="G940" s="2">
        <v>44957</v>
      </c>
      <c r="H940" t="s">
        <v>95</v>
      </c>
      <c r="I940" s="2">
        <v>44621</v>
      </c>
      <c r="J940">
        <v>676.18</v>
      </c>
      <c r="K940">
        <v>29.5</v>
      </c>
      <c r="L940" t="s">
        <v>19</v>
      </c>
      <c r="M940">
        <f t="shared" si="42"/>
        <v>676.18</v>
      </c>
      <c r="N940">
        <f t="shared" si="43"/>
        <v>0</v>
      </c>
      <c r="O940">
        <f t="shared" si="44"/>
        <v>676.18</v>
      </c>
    </row>
    <row r="941" spans="1:15" x14ac:dyDescent="0.2">
      <c r="A941" t="s">
        <v>94</v>
      </c>
      <c r="B941">
        <v>60565</v>
      </c>
      <c r="C941" t="s">
        <v>13</v>
      </c>
      <c r="D941" t="s">
        <v>14</v>
      </c>
      <c r="E941" s="3">
        <v>44585</v>
      </c>
      <c r="F941" t="s">
        <v>46</v>
      </c>
      <c r="G941" s="2">
        <v>44957</v>
      </c>
      <c r="H941" t="s">
        <v>95</v>
      </c>
      <c r="I941" s="2">
        <v>44652</v>
      </c>
      <c r="J941">
        <v>802.49</v>
      </c>
      <c r="K941">
        <v>50.8</v>
      </c>
      <c r="L941" t="s">
        <v>16</v>
      </c>
      <c r="M941">
        <f t="shared" si="42"/>
        <v>802.49</v>
      </c>
      <c r="N941">
        <f t="shared" si="43"/>
        <v>0</v>
      </c>
      <c r="O941">
        <f t="shared" si="44"/>
        <v>802.49</v>
      </c>
    </row>
    <row r="942" spans="1:15" x14ac:dyDescent="0.2">
      <c r="A942" t="s">
        <v>94</v>
      </c>
      <c r="B942">
        <v>60565</v>
      </c>
      <c r="C942" t="s">
        <v>13</v>
      </c>
      <c r="D942" t="s">
        <v>14</v>
      </c>
      <c r="E942" s="3">
        <v>44585</v>
      </c>
      <c r="F942" t="s">
        <v>46</v>
      </c>
      <c r="G942" s="2">
        <v>44957</v>
      </c>
      <c r="H942" t="s">
        <v>95</v>
      </c>
      <c r="I942" s="2">
        <v>44682</v>
      </c>
      <c r="J942">
        <v>731.8</v>
      </c>
      <c r="K942">
        <v>46.3</v>
      </c>
      <c r="L942" t="s">
        <v>16</v>
      </c>
      <c r="M942">
        <f t="shared" si="42"/>
        <v>731.8</v>
      </c>
      <c r="N942">
        <f t="shared" si="43"/>
        <v>0</v>
      </c>
      <c r="O942">
        <f t="shared" si="44"/>
        <v>731.8</v>
      </c>
    </row>
    <row r="943" spans="1:15" x14ac:dyDescent="0.2">
      <c r="A943" t="s">
        <v>94</v>
      </c>
      <c r="B943">
        <v>60565</v>
      </c>
      <c r="C943" t="s">
        <v>13</v>
      </c>
      <c r="D943" t="s">
        <v>14</v>
      </c>
      <c r="E943" s="3">
        <v>44585</v>
      </c>
      <c r="F943" t="s">
        <v>46</v>
      </c>
      <c r="G943" s="2">
        <v>44957</v>
      </c>
      <c r="H943" t="s">
        <v>95</v>
      </c>
      <c r="I943" s="2">
        <v>44713</v>
      </c>
      <c r="J943">
        <v>682.55</v>
      </c>
      <c r="K943">
        <v>61.1</v>
      </c>
      <c r="L943" t="s">
        <v>16</v>
      </c>
      <c r="M943">
        <f t="shared" si="42"/>
        <v>682.55</v>
      </c>
      <c r="N943">
        <f t="shared" si="43"/>
        <v>0</v>
      </c>
      <c r="O943">
        <f t="shared" si="44"/>
        <v>682.55</v>
      </c>
    </row>
    <row r="944" spans="1:15" x14ac:dyDescent="0.2">
      <c r="A944" t="s">
        <v>94</v>
      </c>
      <c r="B944">
        <v>60565</v>
      </c>
      <c r="C944" t="s">
        <v>13</v>
      </c>
      <c r="D944" t="s">
        <v>14</v>
      </c>
      <c r="E944" s="3">
        <v>44585</v>
      </c>
      <c r="F944" t="s">
        <v>46</v>
      </c>
      <c r="G944" s="2">
        <v>44957</v>
      </c>
      <c r="H944" t="s">
        <v>95</v>
      </c>
      <c r="I944" s="2">
        <v>44743</v>
      </c>
      <c r="J944">
        <v>646.35</v>
      </c>
      <c r="K944">
        <v>27.4</v>
      </c>
      <c r="L944" t="s">
        <v>19</v>
      </c>
      <c r="M944">
        <f t="shared" si="42"/>
        <v>646.35</v>
      </c>
      <c r="N944">
        <f t="shared" si="43"/>
        <v>0</v>
      </c>
      <c r="O944">
        <f t="shared" si="44"/>
        <v>646.35</v>
      </c>
    </row>
    <row r="945" spans="1:15" x14ac:dyDescent="0.2">
      <c r="A945" t="s">
        <v>94</v>
      </c>
      <c r="B945">
        <v>60565</v>
      </c>
      <c r="C945" t="s">
        <v>13</v>
      </c>
      <c r="D945" t="s">
        <v>14</v>
      </c>
      <c r="E945" s="3">
        <v>44585</v>
      </c>
      <c r="F945" t="s">
        <v>46</v>
      </c>
      <c r="G945" s="2">
        <v>44957</v>
      </c>
      <c r="H945" t="s">
        <v>95</v>
      </c>
      <c r="I945" s="2">
        <v>44774</v>
      </c>
      <c r="J945">
        <v>680.94</v>
      </c>
      <c r="K945">
        <v>54.2</v>
      </c>
      <c r="L945" t="s">
        <v>16</v>
      </c>
      <c r="M945">
        <f t="shared" si="42"/>
        <v>680.94</v>
      </c>
      <c r="N945">
        <f t="shared" si="43"/>
        <v>0</v>
      </c>
      <c r="O945">
        <f t="shared" si="44"/>
        <v>680.94</v>
      </c>
    </row>
    <row r="946" spans="1:15" x14ac:dyDescent="0.2">
      <c r="A946" t="s">
        <v>94</v>
      </c>
      <c r="B946">
        <v>60565</v>
      </c>
      <c r="C946" t="s">
        <v>13</v>
      </c>
      <c r="D946" t="s">
        <v>14</v>
      </c>
      <c r="E946" s="3">
        <v>44585</v>
      </c>
      <c r="F946" t="s">
        <v>46</v>
      </c>
      <c r="G946" s="2">
        <v>44957</v>
      </c>
      <c r="H946" t="s">
        <v>95</v>
      </c>
      <c r="I946" s="2">
        <v>44805</v>
      </c>
      <c r="J946">
        <v>806</v>
      </c>
      <c r="K946">
        <v>41.9</v>
      </c>
      <c r="L946" t="s">
        <v>16</v>
      </c>
      <c r="M946">
        <f t="shared" si="42"/>
        <v>806</v>
      </c>
      <c r="N946">
        <f t="shared" si="43"/>
        <v>0</v>
      </c>
      <c r="O946">
        <f t="shared" si="44"/>
        <v>806</v>
      </c>
    </row>
    <row r="947" spans="1:15" x14ac:dyDescent="0.2">
      <c r="A947" t="s">
        <v>94</v>
      </c>
      <c r="B947">
        <v>60565</v>
      </c>
      <c r="C947" t="s">
        <v>13</v>
      </c>
      <c r="D947" t="s">
        <v>14</v>
      </c>
      <c r="E947" s="3">
        <v>44585</v>
      </c>
      <c r="F947" t="s">
        <v>46</v>
      </c>
      <c r="G947" s="2">
        <v>44957</v>
      </c>
      <c r="H947" t="s">
        <v>95</v>
      </c>
      <c r="I947" s="2">
        <v>44835</v>
      </c>
      <c r="J947">
        <v>638.91999999999996</v>
      </c>
      <c r="K947">
        <v>74.099999999999994</v>
      </c>
      <c r="L947" t="s">
        <v>20</v>
      </c>
      <c r="M947">
        <f t="shared" si="42"/>
        <v>638.91999999999996</v>
      </c>
      <c r="N947">
        <f t="shared" si="43"/>
        <v>0</v>
      </c>
      <c r="O947">
        <f t="shared" si="44"/>
        <v>638.91999999999996</v>
      </c>
    </row>
    <row r="948" spans="1:15" x14ac:dyDescent="0.2">
      <c r="A948" t="s">
        <v>94</v>
      </c>
      <c r="B948">
        <v>60565</v>
      </c>
      <c r="C948" t="s">
        <v>13</v>
      </c>
      <c r="D948" t="s">
        <v>14</v>
      </c>
      <c r="E948" s="3">
        <v>44585</v>
      </c>
      <c r="F948" t="s">
        <v>46</v>
      </c>
      <c r="G948" s="2">
        <v>44957</v>
      </c>
      <c r="H948" t="s">
        <v>95</v>
      </c>
      <c r="I948" s="2">
        <v>44866</v>
      </c>
      <c r="J948">
        <v>744.93</v>
      </c>
      <c r="K948">
        <v>42.6</v>
      </c>
      <c r="L948" t="s">
        <v>16</v>
      </c>
      <c r="M948">
        <f t="shared" si="42"/>
        <v>744.93</v>
      </c>
      <c r="N948">
        <f t="shared" si="43"/>
        <v>0</v>
      </c>
      <c r="O948">
        <f t="shared" si="44"/>
        <v>744.93</v>
      </c>
    </row>
    <row r="949" spans="1:15" x14ac:dyDescent="0.2">
      <c r="A949" t="s">
        <v>94</v>
      </c>
      <c r="B949">
        <v>60565</v>
      </c>
      <c r="C949" t="s">
        <v>13</v>
      </c>
      <c r="D949" t="s">
        <v>14</v>
      </c>
      <c r="E949" s="3">
        <v>44585</v>
      </c>
      <c r="F949" t="s">
        <v>46</v>
      </c>
      <c r="G949" s="2">
        <v>44957</v>
      </c>
      <c r="H949" t="s">
        <v>95</v>
      </c>
      <c r="I949" s="2">
        <v>44896</v>
      </c>
      <c r="J949">
        <v>881.32</v>
      </c>
      <c r="K949">
        <v>52.3</v>
      </c>
      <c r="L949" t="s">
        <v>16</v>
      </c>
      <c r="M949">
        <f t="shared" si="42"/>
        <v>881.32</v>
      </c>
      <c r="N949">
        <f t="shared" si="43"/>
        <v>0</v>
      </c>
      <c r="O949">
        <f t="shared" si="44"/>
        <v>881.32</v>
      </c>
    </row>
    <row r="950" spans="1:15" x14ac:dyDescent="0.2">
      <c r="A950" t="s">
        <v>94</v>
      </c>
      <c r="B950">
        <v>60565</v>
      </c>
      <c r="C950" t="s">
        <v>13</v>
      </c>
      <c r="D950" t="s">
        <v>14</v>
      </c>
      <c r="E950" s="3">
        <v>44585</v>
      </c>
      <c r="F950" t="s">
        <v>46</v>
      </c>
      <c r="G950" s="2">
        <v>44957</v>
      </c>
      <c r="H950" t="s">
        <v>95</v>
      </c>
      <c r="I950" s="2">
        <v>44927</v>
      </c>
      <c r="J950">
        <v>744.9</v>
      </c>
      <c r="K950">
        <v>76.2</v>
      </c>
      <c r="L950" t="s">
        <v>20</v>
      </c>
      <c r="M950">
        <f t="shared" si="42"/>
        <v>744.9</v>
      </c>
      <c r="N950">
        <f t="shared" si="43"/>
        <v>0</v>
      </c>
      <c r="O950">
        <f t="shared" si="44"/>
        <v>744.9</v>
      </c>
    </row>
    <row r="951" spans="1:15" x14ac:dyDescent="0.2">
      <c r="A951" t="s">
        <v>94</v>
      </c>
      <c r="B951">
        <v>60565</v>
      </c>
      <c r="C951" t="s">
        <v>13</v>
      </c>
      <c r="D951" t="s">
        <v>14</v>
      </c>
      <c r="E951" s="3">
        <v>44585</v>
      </c>
      <c r="F951" t="s">
        <v>46</v>
      </c>
      <c r="G951" s="2">
        <v>44957</v>
      </c>
      <c r="H951" t="s">
        <v>95</v>
      </c>
      <c r="I951" s="2">
        <v>44958</v>
      </c>
      <c r="J951">
        <v>646.95000000000005</v>
      </c>
      <c r="K951">
        <v>73.7</v>
      </c>
      <c r="L951" t="s">
        <v>20</v>
      </c>
      <c r="M951">
        <f t="shared" si="42"/>
        <v>0</v>
      </c>
      <c r="N951">
        <f t="shared" si="43"/>
        <v>646.95000000000005</v>
      </c>
      <c r="O951">
        <f t="shared" si="44"/>
        <v>-646.95000000000005</v>
      </c>
    </row>
    <row r="952" spans="1:15" x14ac:dyDescent="0.2">
      <c r="A952" t="s">
        <v>94</v>
      </c>
      <c r="B952">
        <v>60565</v>
      </c>
      <c r="C952" t="s">
        <v>13</v>
      </c>
      <c r="D952" t="s">
        <v>14</v>
      </c>
      <c r="E952" s="3">
        <v>44585</v>
      </c>
      <c r="F952" t="s">
        <v>46</v>
      </c>
      <c r="G952" s="2">
        <v>44957</v>
      </c>
      <c r="H952" t="s">
        <v>95</v>
      </c>
      <c r="I952" s="2">
        <v>44986</v>
      </c>
      <c r="J952">
        <v>868.97</v>
      </c>
      <c r="K952">
        <v>52.8</v>
      </c>
      <c r="L952" t="s">
        <v>16</v>
      </c>
      <c r="M952">
        <f t="shared" si="42"/>
        <v>0</v>
      </c>
      <c r="N952">
        <f t="shared" si="43"/>
        <v>868.97</v>
      </c>
      <c r="O952">
        <f t="shared" si="44"/>
        <v>-868.97</v>
      </c>
    </row>
    <row r="953" spans="1:15" x14ac:dyDescent="0.2">
      <c r="A953" t="s">
        <v>94</v>
      </c>
      <c r="B953">
        <v>60565</v>
      </c>
      <c r="C953" t="s">
        <v>13</v>
      </c>
      <c r="D953" t="s">
        <v>14</v>
      </c>
      <c r="E953" s="3">
        <v>44585</v>
      </c>
      <c r="F953" t="s">
        <v>46</v>
      </c>
      <c r="G953" s="2">
        <v>44957</v>
      </c>
      <c r="H953" t="s">
        <v>95</v>
      </c>
      <c r="I953" s="2">
        <v>45017</v>
      </c>
      <c r="J953">
        <v>889.3</v>
      </c>
      <c r="K953">
        <v>103.1</v>
      </c>
      <c r="L953" t="s">
        <v>20</v>
      </c>
      <c r="M953">
        <f t="shared" si="42"/>
        <v>0</v>
      </c>
      <c r="N953">
        <f t="shared" si="43"/>
        <v>889.3</v>
      </c>
      <c r="O953">
        <f t="shared" si="44"/>
        <v>-889.3</v>
      </c>
    </row>
    <row r="954" spans="1:15" x14ac:dyDescent="0.2">
      <c r="A954" t="s">
        <v>94</v>
      </c>
      <c r="B954">
        <v>60565</v>
      </c>
      <c r="C954" t="s">
        <v>13</v>
      </c>
      <c r="D954" t="s">
        <v>14</v>
      </c>
      <c r="E954" s="3">
        <v>44585</v>
      </c>
      <c r="F954" t="s">
        <v>46</v>
      </c>
      <c r="G954" s="2">
        <v>44957</v>
      </c>
      <c r="H954" t="s">
        <v>95</v>
      </c>
      <c r="I954" s="2">
        <v>45047</v>
      </c>
      <c r="J954">
        <v>702.61</v>
      </c>
      <c r="K954">
        <v>40.6</v>
      </c>
      <c r="L954" t="s">
        <v>16</v>
      </c>
      <c r="M954">
        <f t="shared" si="42"/>
        <v>0</v>
      </c>
      <c r="N954">
        <f t="shared" si="43"/>
        <v>702.61</v>
      </c>
      <c r="O954">
        <f t="shared" si="44"/>
        <v>-702.61</v>
      </c>
    </row>
    <row r="955" spans="1:15" x14ac:dyDescent="0.2">
      <c r="A955" t="s">
        <v>94</v>
      </c>
      <c r="B955">
        <v>60565</v>
      </c>
      <c r="C955" t="s">
        <v>13</v>
      </c>
      <c r="D955" t="s">
        <v>14</v>
      </c>
      <c r="E955" s="3">
        <v>44585</v>
      </c>
      <c r="F955" t="s">
        <v>46</v>
      </c>
      <c r="G955" s="2">
        <v>44957</v>
      </c>
      <c r="H955" t="s">
        <v>95</v>
      </c>
      <c r="I955" s="2">
        <v>45078</v>
      </c>
      <c r="J955">
        <v>453.15</v>
      </c>
      <c r="K955">
        <v>76</v>
      </c>
      <c r="L955" t="s">
        <v>20</v>
      </c>
      <c r="M955">
        <f t="shared" si="42"/>
        <v>0</v>
      </c>
      <c r="N955">
        <f t="shared" si="43"/>
        <v>453.15</v>
      </c>
      <c r="O955">
        <f t="shared" si="44"/>
        <v>-453.15</v>
      </c>
    </row>
    <row r="956" spans="1:15" x14ac:dyDescent="0.2">
      <c r="A956" t="s">
        <v>94</v>
      </c>
      <c r="B956">
        <v>60565</v>
      </c>
      <c r="C956" t="s">
        <v>13</v>
      </c>
      <c r="D956" t="s">
        <v>14</v>
      </c>
      <c r="E956" s="3">
        <v>44585</v>
      </c>
      <c r="F956" t="s">
        <v>46</v>
      </c>
      <c r="G956" s="2">
        <v>44957</v>
      </c>
      <c r="H956" t="s">
        <v>95</v>
      </c>
      <c r="I956" s="2">
        <v>45108</v>
      </c>
      <c r="J956">
        <v>788.64</v>
      </c>
      <c r="K956">
        <v>38.9</v>
      </c>
      <c r="L956" t="s">
        <v>19</v>
      </c>
      <c r="M956">
        <f t="shared" si="42"/>
        <v>0</v>
      </c>
      <c r="N956">
        <f t="shared" si="43"/>
        <v>788.64</v>
      </c>
      <c r="O956">
        <f t="shared" si="44"/>
        <v>-788.64</v>
      </c>
    </row>
    <row r="957" spans="1:15" x14ac:dyDescent="0.2">
      <c r="A957" t="s">
        <v>94</v>
      </c>
      <c r="B957">
        <v>60565</v>
      </c>
      <c r="C957" t="s">
        <v>13</v>
      </c>
      <c r="D957" t="s">
        <v>14</v>
      </c>
      <c r="E957" s="3">
        <v>44585</v>
      </c>
      <c r="F957" t="s">
        <v>46</v>
      </c>
      <c r="G957" s="2">
        <v>44957</v>
      </c>
      <c r="H957" t="s">
        <v>95</v>
      </c>
      <c r="I957" s="2">
        <v>45139</v>
      </c>
      <c r="J957">
        <v>470.6</v>
      </c>
      <c r="K957">
        <v>80</v>
      </c>
      <c r="L957" t="s">
        <v>20</v>
      </c>
      <c r="M957">
        <f t="shared" si="42"/>
        <v>0</v>
      </c>
      <c r="N957">
        <f t="shared" si="43"/>
        <v>470.6</v>
      </c>
      <c r="O957">
        <f t="shared" si="44"/>
        <v>-470.6</v>
      </c>
    </row>
    <row r="958" spans="1:15" x14ac:dyDescent="0.2">
      <c r="A958" t="s">
        <v>94</v>
      </c>
      <c r="B958">
        <v>60565</v>
      </c>
      <c r="C958" t="s">
        <v>13</v>
      </c>
      <c r="D958" t="s">
        <v>14</v>
      </c>
      <c r="E958" s="3">
        <v>44585</v>
      </c>
      <c r="F958" t="s">
        <v>46</v>
      </c>
      <c r="G958" s="2">
        <v>44957</v>
      </c>
      <c r="H958" t="s">
        <v>95</v>
      </c>
      <c r="I958" s="2">
        <v>45170</v>
      </c>
      <c r="J958">
        <v>847.61</v>
      </c>
      <c r="K958">
        <v>84.9</v>
      </c>
      <c r="L958" t="s">
        <v>20</v>
      </c>
      <c r="M958">
        <f t="shared" si="42"/>
        <v>0</v>
      </c>
      <c r="N958">
        <f t="shared" si="43"/>
        <v>847.61</v>
      </c>
      <c r="O958">
        <f t="shared" si="44"/>
        <v>-847.61</v>
      </c>
    </row>
    <row r="959" spans="1:15" x14ac:dyDescent="0.2">
      <c r="A959" t="s">
        <v>94</v>
      </c>
      <c r="B959">
        <v>60565</v>
      </c>
      <c r="C959" t="s">
        <v>13</v>
      </c>
      <c r="D959" t="s">
        <v>14</v>
      </c>
      <c r="E959" s="3">
        <v>44585</v>
      </c>
      <c r="F959" t="s">
        <v>46</v>
      </c>
      <c r="G959" s="2">
        <v>44957</v>
      </c>
      <c r="H959" t="s">
        <v>95</v>
      </c>
      <c r="I959" s="2">
        <v>45200</v>
      </c>
      <c r="J959">
        <v>808.36</v>
      </c>
      <c r="K959">
        <v>80.8</v>
      </c>
      <c r="L959" t="s">
        <v>20</v>
      </c>
      <c r="M959">
        <f t="shared" si="42"/>
        <v>0</v>
      </c>
      <c r="N959">
        <f t="shared" si="43"/>
        <v>808.36</v>
      </c>
      <c r="O959">
        <f t="shared" si="44"/>
        <v>-808.36</v>
      </c>
    </row>
    <row r="960" spans="1:15" x14ac:dyDescent="0.2">
      <c r="A960" t="s">
        <v>94</v>
      </c>
      <c r="B960">
        <v>60565</v>
      </c>
      <c r="C960" t="s">
        <v>13</v>
      </c>
      <c r="D960" t="s">
        <v>14</v>
      </c>
      <c r="E960" s="3">
        <v>44585</v>
      </c>
      <c r="F960" t="s">
        <v>46</v>
      </c>
      <c r="G960" s="2">
        <v>44957</v>
      </c>
      <c r="H960" t="s">
        <v>95</v>
      </c>
      <c r="I960" s="2">
        <v>45231</v>
      </c>
      <c r="J960">
        <v>877.42</v>
      </c>
      <c r="K960">
        <v>46.5</v>
      </c>
      <c r="L960" t="s">
        <v>16</v>
      </c>
      <c r="M960">
        <f t="shared" si="42"/>
        <v>0</v>
      </c>
      <c r="N960">
        <f t="shared" si="43"/>
        <v>877.42</v>
      </c>
      <c r="O960">
        <f t="shared" si="44"/>
        <v>-877.42</v>
      </c>
    </row>
    <row r="961" spans="1:15" x14ac:dyDescent="0.2">
      <c r="A961" t="s">
        <v>94</v>
      </c>
      <c r="B961">
        <v>60565</v>
      </c>
      <c r="C961" t="s">
        <v>13</v>
      </c>
      <c r="D961" t="s">
        <v>14</v>
      </c>
      <c r="E961" s="3">
        <v>44585</v>
      </c>
      <c r="F961" t="s">
        <v>46</v>
      </c>
      <c r="G961" s="2">
        <v>44957</v>
      </c>
      <c r="H961" t="s">
        <v>95</v>
      </c>
      <c r="I961" s="2">
        <v>45261</v>
      </c>
      <c r="J961">
        <v>726.03</v>
      </c>
      <c r="K961">
        <v>29.2</v>
      </c>
      <c r="L961" t="s">
        <v>19</v>
      </c>
      <c r="M961">
        <f t="shared" si="42"/>
        <v>0</v>
      </c>
      <c r="N961">
        <f t="shared" si="43"/>
        <v>726.03</v>
      </c>
      <c r="O961">
        <f t="shared" si="44"/>
        <v>-726.03</v>
      </c>
    </row>
    <row r="962" spans="1:15" x14ac:dyDescent="0.2">
      <c r="A962" t="s">
        <v>96</v>
      </c>
      <c r="B962">
        <v>60565</v>
      </c>
      <c r="C962" t="s">
        <v>13</v>
      </c>
      <c r="D962" t="s">
        <v>18</v>
      </c>
      <c r="E962" s="3">
        <v>44892</v>
      </c>
      <c r="F962" t="s">
        <v>33</v>
      </c>
      <c r="G962" s="2">
        <v>44825</v>
      </c>
      <c r="H962" t="s">
        <v>97</v>
      </c>
      <c r="I962" s="2">
        <v>44562</v>
      </c>
      <c r="J962">
        <v>795.84</v>
      </c>
      <c r="K962">
        <v>43</v>
      </c>
      <c r="L962" t="s">
        <v>16</v>
      </c>
      <c r="M962">
        <f t="shared" ref="M962:M1025" si="45">SUMIFS(J962,I962, "&lt;" &amp;G962,I962,"&lt;&gt;",G962,"&lt;&gt;")</f>
        <v>795.84</v>
      </c>
      <c r="N962">
        <f t="shared" ref="N962:N1025" si="46">SUMIFS(J962,I962, "&gt;=" &amp;G962,I962,"&lt;&gt;",G962,"&lt;&gt;")</f>
        <v>0</v>
      </c>
      <c r="O962">
        <f t="shared" ref="O962:O1025" si="47">SUM(M962-N962)</f>
        <v>795.84</v>
      </c>
    </row>
    <row r="963" spans="1:15" x14ac:dyDescent="0.2">
      <c r="A963" t="s">
        <v>96</v>
      </c>
      <c r="B963">
        <v>60565</v>
      </c>
      <c r="C963" t="s">
        <v>13</v>
      </c>
      <c r="D963" t="s">
        <v>18</v>
      </c>
      <c r="E963" s="3">
        <v>44892</v>
      </c>
      <c r="F963" t="s">
        <v>33</v>
      </c>
      <c r="G963" s="2">
        <v>44825</v>
      </c>
      <c r="H963" t="s">
        <v>97</v>
      </c>
      <c r="I963" s="2">
        <v>44593</v>
      </c>
      <c r="J963">
        <v>855.61</v>
      </c>
      <c r="K963">
        <v>26.4</v>
      </c>
      <c r="L963" t="s">
        <v>19</v>
      </c>
      <c r="M963">
        <f t="shared" si="45"/>
        <v>855.61</v>
      </c>
      <c r="N963">
        <f t="shared" si="46"/>
        <v>0</v>
      </c>
      <c r="O963">
        <f t="shared" si="47"/>
        <v>855.61</v>
      </c>
    </row>
    <row r="964" spans="1:15" x14ac:dyDescent="0.2">
      <c r="A964" t="s">
        <v>96</v>
      </c>
      <c r="B964">
        <v>60565</v>
      </c>
      <c r="C964" t="s">
        <v>13</v>
      </c>
      <c r="D964" t="s">
        <v>18</v>
      </c>
      <c r="E964" s="3">
        <v>44892</v>
      </c>
      <c r="F964" t="s">
        <v>33</v>
      </c>
      <c r="G964" s="2">
        <v>44825</v>
      </c>
      <c r="H964" t="s">
        <v>97</v>
      </c>
      <c r="I964" s="2">
        <v>44621</v>
      </c>
      <c r="J964">
        <v>745.81</v>
      </c>
      <c r="K964">
        <v>29.5</v>
      </c>
      <c r="L964" t="s">
        <v>19</v>
      </c>
      <c r="M964">
        <f t="shared" si="45"/>
        <v>745.81</v>
      </c>
      <c r="N964">
        <f t="shared" si="46"/>
        <v>0</v>
      </c>
      <c r="O964">
        <f t="shared" si="47"/>
        <v>745.81</v>
      </c>
    </row>
    <row r="965" spans="1:15" x14ac:dyDescent="0.2">
      <c r="A965" t="s">
        <v>96</v>
      </c>
      <c r="B965">
        <v>60565</v>
      </c>
      <c r="C965" t="s">
        <v>13</v>
      </c>
      <c r="D965" t="s">
        <v>18</v>
      </c>
      <c r="E965" s="3">
        <v>44892</v>
      </c>
      <c r="F965" t="s">
        <v>33</v>
      </c>
      <c r="G965" s="2">
        <v>44825</v>
      </c>
      <c r="H965" t="s">
        <v>97</v>
      </c>
      <c r="I965" s="2">
        <v>44652</v>
      </c>
      <c r="J965">
        <v>863.89</v>
      </c>
      <c r="K965">
        <v>50.8</v>
      </c>
      <c r="L965" t="s">
        <v>16</v>
      </c>
      <c r="M965">
        <f t="shared" si="45"/>
        <v>863.89</v>
      </c>
      <c r="N965">
        <f t="shared" si="46"/>
        <v>0</v>
      </c>
      <c r="O965">
        <f t="shared" si="47"/>
        <v>863.89</v>
      </c>
    </row>
    <row r="966" spans="1:15" x14ac:dyDescent="0.2">
      <c r="A966" t="s">
        <v>96</v>
      </c>
      <c r="B966">
        <v>60565</v>
      </c>
      <c r="C966" t="s">
        <v>13</v>
      </c>
      <c r="D966" t="s">
        <v>18</v>
      </c>
      <c r="E966" s="3">
        <v>44892</v>
      </c>
      <c r="F966" t="s">
        <v>33</v>
      </c>
      <c r="G966" s="2">
        <v>44825</v>
      </c>
      <c r="H966" t="s">
        <v>97</v>
      </c>
      <c r="I966" s="2">
        <v>44682</v>
      </c>
      <c r="J966">
        <v>956.73</v>
      </c>
      <c r="K966">
        <v>46.3</v>
      </c>
      <c r="L966" t="s">
        <v>16</v>
      </c>
      <c r="M966">
        <f t="shared" si="45"/>
        <v>956.73</v>
      </c>
      <c r="N966">
        <f t="shared" si="46"/>
        <v>0</v>
      </c>
      <c r="O966">
        <f t="shared" si="47"/>
        <v>956.73</v>
      </c>
    </row>
    <row r="967" spans="1:15" x14ac:dyDescent="0.2">
      <c r="A967" t="s">
        <v>96</v>
      </c>
      <c r="B967">
        <v>60565</v>
      </c>
      <c r="C967" t="s">
        <v>13</v>
      </c>
      <c r="D967" t="s">
        <v>18</v>
      </c>
      <c r="E967" s="3">
        <v>44892</v>
      </c>
      <c r="F967" t="s">
        <v>33</v>
      </c>
      <c r="G967" s="2">
        <v>44825</v>
      </c>
      <c r="H967" t="s">
        <v>97</v>
      </c>
      <c r="I967" s="2">
        <v>44713</v>
      </c>
      <c r="J967">
        <v>834.31</v>
      </c>
      <c r="K967">
        <v>61.1</v>
      </c>
      <c r="L967" t="s">
        <v>16</v>
      </c>
      <c r="M967">
        <f t="shared" si="45"/>
        <v>834.31</v>
      </c>
      <c r="N967">
        <f t="shared" si="46"/>
        <v>0</v>
      </c>
      <c r="O967">
        <f t="shared" si="47"/>
        <v>834.31</v>
      </c>
    </row>
    <row r="968" spans="1:15" x14ac:dyDescent="0.2">
      <c r="A968" t="s">
        <v>96</v>
      </c>
      <c r="B968">
        <v>60565</v>
      </c>
      <c r="C968" t="s">
        <v>13</v>
      </c>
      <c r="D968" t="s">
        <v>18</v>
      </c>
      <c r="E968" s="3">
        <v>44892</v>
      </c>
      <c r="F968" t="s">
        <v>33</v>
      </c>
      <c r="G968" s="2">
        <v>44825</v>
      </c>
      <c r="H968" t="s">
        <v>97</v>
      </c>
      <c r="I968" s="2">
        <v>44743</v>
      </c>
      <c r="J968">
        <v>721.79</v>
      </c>
      <c r="K968">
        <v>27.4</v>
      </c>
      <c r="L968" t="s">
        <v>19</v>
      </c>
      <c r="M968">
        <f t="shared" si="45"/>
        <v>721.79</v>
      </c>
      <c r="N968">
        <f t="shared" si="46"/>
        <v>0</v>
      </c>
      <c r="O968">
        <f t="shared" si="47"/>
        <v>721.79</v>
      </c>
    </row>
    <row r="969" spans="1:15" x14ac:dyDescent="0.2">
      <c r="A969" t="s">
        <v>96</v>
      </c>
      <c r="B969">
        <v>60565</v>
      </c>
      <c r="C969" t="s">
        <v>13</v>
      </c>
      <c r="D969" t="s">
        <v>18</v>
      </c>
      <c r="E969" s="3">
        <v>44892</v>
      </c>
      <c r="F969" t="s">
        <v>33</v>
      </c>
      <c r="G969" s="2">
        <v>44825</v>
      </c>
      <c r="H969" t="s">
        <v>97</v>
      </c>
      <c r="I969" s="2">
        <v>44774</v>
      </c>
      <c r="J969">
        <v>738.5</v>
      </c>
      <c r="K969">
        <v>54.2</v>
      </c>
      <c r="L969" t="s">
        <v>16</v>
      </c>
      <c r="M969">
        <f t="shared" si="45"/>
        <v>738.5</v>
      </c>
      <c r="N969">
        <f t="shared" si="46"/>
        <v>0</v>
      </c>
      <c r="O969">
        <f t="shared" si="47"/>
        <v>738.5</v>
      </c>
    </row>
    <row r="970" spans="1:15" x14ac:dyDescent="0.2">
      <c r="A970" t="s">
        <v>96</v>
      </c>
      <c r="B970">
        <v>60565</v>
      </c>
      <c r="C970" t="s">
        <v>13</v>
      </c>
      <c r="D970" t="s">
        <v>18</v>
      </c>
      <c r="E970" s="3">
        <v>44892</v>
      </c>
      <c r="F970" t="s">
        <v>33</v>
      </c>
      <c r="G970" s="2">
        <v>44825</v>
      </c>
      <c r="H970" t="s">
        <v>97</v>
      </c>
      <c r="I970" s="2">
        <v>44805</v>
      </c>
      <c r="J970">
        <v>775.17</v>
      </c>
      <c r="K970">
        <v>41.9</v>
      </c>
      <c r="L970" t="s">
        <v>16</v>
      </c>
      <c r="M970">
        <f t="shared" si="45"/>
        <v>775.17</v>
      </c>
      <c r="N970">
        <f t="shared" si="46"/>
        <v>0</v>
      </c>
      <c r="O970">
        <f t="shared" si="47"/>
        <v>775.17</v>
      </c>
    </row>
    <row r="971" spans="1:15" x14ac:dyDescent="0.2">
      <c r="A971" t="s">
        <v>96</v>
      </c>
      <c r="B971">
        <v>60565</v>
      </c>
      <c r="C971" t="s">
        <v>13</v>
      </c>
      <c r="D971" t="s">
        <v>18</v>
      </c>
      <c r="E971" s="3">
        <v>44892</v>
      </c>
      <c r="F971" t="s">
        <v>33</v>
      </c>
      <c r="G971" s="2">
        <v>44825</v>
      </c>
      <c r="H971" t="s">
        <v>97</v>
      </c>
      <c r="I971" s="2">
        <v>44835</v>
      </c>
      <c r="J971">
        <v>740.51</v>
      </c>
      <c r="K971">
        <v>74.099999999999994</v>
      </c>
      <c r="L971" t="s">
        <v>20</v>
      </c>
      <c r="M971">
        <f t="shared" si="45"/>
        <v>0</v>
      </c>
      <c r="N971">
        <f t="shared" si="46"/>
        <v>740.51</v>
      </c>
      <c r="O971">
        <f t="shared" si="47"/>
        <v>-740.51</v>
      </c>
    </row>
    <row r="972" spans="1:15" x14ac:dyDescent="0.2">
      <c r="A972" t="s">
        <v>96</v>
      </c>
      <c r="B972">
        <v>60565</v>
      </c>
      <c r="C972" t="s">
        <v>13</v>
      </c>
      <c r="D972" t="s">
        <v>18</v>
      </c>
      <c r="E972" s="3">
        <v>44892</v>
      </c>
      <c r="F972" t="s">
        <v>33</v>
      </c>
      <c r="G972" s="2">
        <v>44825</v>
      </c>
      <c r="H972" t="s">
        <v>97</v>
      </c>
      <c r="I972" s="2">
        <v>44866</v>
      </c>
      <c r="J972">
        <v>700.88</v>
      </c>
      <c r="K972">
        <v>42.6</v>
      </c>
      <c r="L972" t="s">
        <v>16</v>
      </c>
      <c r="M972">
        <f t="shared" si="45"/>
        <v>0</v>
      </c>
      <c r="N972">
        <f t="shared" si="46"/>
        <v>700.88</v>
      </c>
      <c r="O972">
        <f t="shared" si="47"/>
        <v>-700.88</v>
      </c>
    </row>
    <row r="973" spans="1:15" x14ac:dyDescent="0.2">
      <c r="A973" t="s">
        <v>96</v>
      </c>
      <c r="B973">
        <v>60565</v>
      </c>
      <c r="C973" t="s">
        <v>13</v>
      </c>
      <c r="D973" t="s">
        <v>18</v>
      </c>
      <c r="E973" s="3">
        <v>44892</v>
      </c>
      <c r="F973" t="s">
        <v>33</v>
      </c>
      <c r="G973" s="2">
        <v>44825</v>
      </c>
      <c r="H973" t="s">
        <v>97</v>
      </c>
      <c r="I973" s="2">
        <v>44896</v>
      </c>
      <c r="J973">
        <v>815.44</v>
      </c>
      <c r="K973">
        <v>52.3</v>
      </c>
      <c r="L973" t="s">
        <v>16</v>
      </c>
      <c r="M973">
        <f t="shared" si="45"/>
        <v>0</v>
      </c>
      <c r="N973">
        <f t="shared" si="46"/>
        <v>815.44</v>
      </c>
      <c r="O973">
        <f t="shared" si="47"/>
        <v>-815.44</v>
      </c>
    </row>
    <row r="974" spans="1:15" x14ac:dyDescent="0.2">
      <c r="A974" t="s">
        <v>96</v>
      </c>
      <c r="B974">
        <v>60565</v>
      </c>
      <c r="C974" t="s">
        <v>13</v>
      </c>
      <c r="D974" t="s">
        <v>18</v>
      </c>
      <c r="E974" s="3">
        <v>44892</v>
      </c>
      <c r="F974" t="s">
        <v>33</v>
      </c>
      <c r="G974" s="2">
        <v>44825</v>
      </c>
      <c r="H974" t="s">
        <v>97</v>
      </c>
      <c r="I974" s="2">
        <v>44927</v>
      </c>
      <c r="J974">
        <v>677.88</v>
      </c>
      <c r="K974">
        <v>76.2</v>
      </c>
      <c r="L974" t="s">
        <v>20</v>
      </c>
      <c r="M974">
        <f t="shared" si="45"/>
        <v>0</v>
      </c>
      <c r="N974">
        <f t="shared" si="46"/>
        <v>677.88</v>
      </c>
      <c r="O974">
        <f t="shared" si="47"/>
        <v>-677.88</v>
      </c>
    </row>
    <row r="975" spans="1:15" x14ac:dyDescent="0.2">
      <c r="A975" t="s">
        <v>96</v>
      </c>
      <c r="B975">
        <v>60565</v>
      </c>
      <c r="C975" t="s">
        <v>13</v>
      </c>
      <c r="D975" t="s">
        <v>18</v>
      </c>
      <c r="E975" s="3">
        <v>44892</v>
      </c>
      <c r="F975" t="s">
        <v>33</v>
      </c>
      <c r="G975" s="2">
        <v>44825</v>
      </c>
      <c r="H975" t="s">
        <v>97</v>
      </c>
      <c r="I975" s="2">
        <v>44958</v>
      </c>
      <c r="J975">
        <v>718.97</v>
      </c>
      <c r="K975">
        <v>73.7</v>
      </c>
      <c r="L975" t="s">
        <v>20</v>
      </c>
      <c r="M975">
        <f t="shared" si="45"/>
        <v>0</v>
      </c>
      <c r="N975">
        <f t="shared" si="46"/>
        <v>718.97</v>
      </c>
      <c r="O975">
        <f t="shared" si="47"/>
        <v>-718.97</v>
      </c>
    </row>
    <row r="976" spans="1:15" x14ac:dyDescent="0.2">
      <c r="A976" t="s">
        <v>96</v>
      </c>
      <c r="B976">
        <v>60565</v>
      </c>
      <c r="C976" t="s">
        <v>13</v>
      </c>
      <c r="D976" t="s">
        <v>18</v>
      </c>
      <c r="E976" s="3">
        <v>44892</v>
      </c>
      <c r="F976" t="s">
        <v>33</v>
      </c>
      <c r="G976" s="2">
        <v>44825</v>
      </c>
      <c r="H976" t="s">
        <v>97</v>
      </c>
      <c r="I976" s="2">
        <v>44986</v>
      </c>
      <c r="J976">
        <v>818.64</v>
      </c>
      <c r="K976">
        <v>52.8</v>
      </c>
      <c r="L976" t="s">
        <v>16</v>
      </c>
      <c r="M976">
        <f t="shared" si="45"/>
        <v>0</v>
      </c>
      <c r="N976">
        <f t="shared" si="46"/>
        <v>818.64</v>
      </c>
      <c r="O976">
        <f t="shared" si="47"/>
        <v>-818.64</v>
      </c>
    </row>
    <row r="977" spans="1:15" x14ac:dyDescent="0.2">
      <c r="A977" t="s">
        <v>96</v>
      </c>
      <c r="B977">
        <v>60565</v>
      </c>
      <c r="C977" t="s">
        <v>13</v>
      </c>
      <c r="D977" t="s">
        <v>18</v>
      </c>
      <c r="E977" s="3">
        <v>44892</v>
      </c>
      <c r="F977" t="s">
        <v>33</v>
      </c>
      <c r="G977" s="2">
        <v>44825</v>
      </c>
      <c r="H977" t="s">
        <v>97</v>
      </c>
      <c r="I977" s="2">
        <v>45017</v>
      </c>
      <c r="J977">
        <v>676.36</v>
      </c>
      <c r="K977">
        <v>103.1</v>
      </c>
      <c r="L977" t="s">
        <v>20</v>
      </c>
      <c r="M977">
        <f t="shared" si="45"/>
        <v>0</v>
      </c>
      <c r="N977">
        <f t="shared" si="46"/>
        <v>676.36</v>
      </c>
      <c r="O977">
        <f t="shared" si="47"/>
        <v>-676.36</v>
      </c>
    </row>
    <row r="978" spans="1:15" x14ac:dyDescent="0.2">
      <c r="A978" t="s">
        <v>96</v>
      </c>
      <c r="B978">
        <v>60565</v>
      </c>
      <c r="C978" t="s">
        <v>13</v>
      </c>
      <c r="D978" t="s">
        <v>18</v>
      </c>
      <c r="E978" s="3">
        <v>44892</v>
      </c>
      <c r="F978" t="s">
        <v>33</v>
      </c>
      <c r="G978" s="2">
        <v>44825</v>
      </c>
      <c r="H978" t="s">
        <v>97</v>
      </c>
      <c r="I978" s="2">
        <v>45047</v>
      </c>
      <c r="J978">
        <v>581.46</v>
      </c>
      <c r="K978">
        <v>40.6</v>
      </c>
      <c r="L978" t="s">
        <v>16</v>
      </c>
      <c r="M978">
        <f t="shared" si="45"/>
        <v>0</v>
      </c>
      <c r="N978">
        <f t="shared" si="46"/>
        <v>581.46</v>
      </c>
      <c r="O978">
        <f t="shared" si="47"/>
        <v>-581.46</v>
      </c>
    </row>
    <row r="979" spans="1:15" x14ac:dyDescent="0.2">
      <c r="A979" t="s">
        <v>96</v>
      </c>
      <c r="B979">
        <v>60565</v>
      </c>
      <c r="C979" t="s">
        <v>13</v>
      </c>
      <c r="D979" t="s">
        <v>18</v>
      </c>
      <c r="E979" s="3">
        <v>44892</v>
      </c>
      <c r="F979" t="s">
        <v>33</v>
      </c>
      <c r="G979" s="2">
        <v>44825</v>
      </c>
      <c r="H979" t="s">
        <v>97</v>
      </c>
      <c r="I979" s="2">
        <v>45078</v>
      </c>
      <c r="J979">
        <v>660.11</v>
      </c>
      <c r="K979">
        <v>76</v>
      </c>
      <c r="L979" t="s">
        <v>20</v>
      </c>
      <c r="M979">
        <f t="shared" si="45"/>
        <v>0</v>
      </c>
      <c r="N979">
        <f t="shared" si="46"/>
        <v>660.11</v>
      </c>
      <c r="O979">
        <f t="shared" si="47"/>
        <v>-660.11</v>
      </c>
    </row>
    <row r="980" spans="1:15" x14ac:dyDescent="0.2">
      <c r="A980" t="s">
        <v>96</v>
      </c>
      <c r="B980">
        <v>60565</v>
      </c>
      <c r="C980" t="s">
        <v>13</v>
      </c>
      <c r="D980" t="s">
        <v>18</v>
      </c>
      <c r="E980" s="3">
        <v>44892</v>
      </c>
      <c r="F980" t="s">
        <v>33</v>
      </c>
      <c r="G980" s="2">
        <v>44825</v>
      </c>
      <c r="H980" t="s">
        <v>97</v>
      </c>
      <c r="I980" s="2">
        <v>45108</v>
      </c>
      <c r="J980">
        <v>777.04</v>
      </c>
      <c r="K980">
        <v>38.9</v>
      </c>
      <c r="L980" t="s">
        <v>19</v>
      </c>
      <c r="M980">
        <f t="shared" si="45"/>
        <v>0</v>
      </c>
      <c r="N980">
        <f t="shared" si="46"/>
        <v>777.04</v>
      </c>
      <c r="O980">
        <f t="shared" si="47"/>
        <v>-777.04</v>
      </c>
    </row>
    <row r="981" spans="1:15" x14ac:dyDescent="0.2">
      <c r="A981" t="s">
        <v>96</v>
      </c>
      <c r="B981">
        <v>60565</v>
      </c>
      <c r="C981" t="s">
        <v>13</v>
      </c>
      <c r="D981" t="s">
        <v>18</v>
      </c>
      <c r="E981" s="3">
        <v>44892</v>
      </c>
      <c r="F981" t="s">
        <v>33</v>
      </c>
      <c r="G981" s="2">
        <v>44825</v>
      </c>
      <c r="H981" t="s">
        <v>97</v>
      </c>
      <c r="I981" s="2">
        <v>45139</v>
      </c>
      <c r="J981">
        <v>767.68</v>
      </c>
      <c r="K981">
        <v>80</v>
      </c>
      <c r="L981" t="s">
        <v>20</v>
      </c>
      <c r="M981">
        <f t="shared" si="45"/>
        <v>0</v>
      </c>
      <c r="N981">
        <f t="shared" si="46"/>
        <v>767.68</v>
      </c>
      <c r="O981">
        <f t="shared" si="47"/>
        <v>-767.68</v>
      </c>
    </row>
    <row r="982" spans="1:15" x14ac:dyDescent="0.2">
      <c r="A982" t="s">
        <v>96</v>
      </c>
      <c r="B982">
        <v>60565</v>
      </c>
      <c r="C982" t="s">
        <v>13</v>
      </c>
      <c r="D982" t="s">
        <v>18</v>
      </c>
      <c r="E982" s="3">
        <v>44892</v>
      </c>
      <c r="F982" t="s">
        <v>33</v>
      </c>
      <c r="G982" s="2">
        <v>44825</v>
      </c>
      <c r="H982" t="s">
        <v>97</v>
      </c>
      <c r="I982" s="2">
        <v>45170</v>
      </c>
      <c r="J982">
        <v>751.86</v>
      </c>
      <c r="K982">
        <v>84.9</v>
      </c>
      <c r="L982" t="s">
        <v>20</v>
      </c>
      <c r="M982">
        <f t="shared" si="45"/>
        <v>0</v>
      </c>
      <c r="N982">
        <f t="shared" si="46"/>
        <v>751.86</v>
      </c>
      <c r="O982">
        <f t="shared" si="47"/>
        <v>-751.86</v>
      </c>
    </row>
    <row r="983" spans="1:15" x14ac:dyDescent="0.2">
      <c r="A983" t="s">
        <v>96</v>
      </c>
      <c r="B983">
        <v>60565</v>
      </c>
      <c r="C983" t="s">
        <v>13</v>
      </c>
      <c r="D983" t="s">
        <v>18</v>
      </c>
      <c r="E983" s="3">
        <v>44892</v>
      </c>
      <c r="F983" t="s">
        <v>33</v>
      </c>
      <c r="G983" s="2">
        <v>44825</v>
      </c>
      <c r="H983" t="s">
        <v>97</v>
      </c>
      <c r="I983" s="2">
        <v>45200</v>
      </c>
      <c r="J983">
        <v>637.53</v>
      </c>
      <c r="K983">
        <v>80.8</v>
      </c>
      <c r="L983" t="s">
        <v>20</v>
      </c>
      <c r="M983">
        <f t="shared" si="45"/>
        <v>0</v>
      </c>
      <c r="N983">
        <f t="shared" si="46"/>
        <v>637.53</v>
      </c>
      <c r="O983">
        <f t="shared" si="47"/>
        <v>-637.53</v>
      </c>
    </row>
    <row r="984" spans="1:15" x14ac:dyDescent="0.2">
      <c r="A984" t="s">
        <v>96</v>
      </c>
      <c r="B984">
        <v>60565</v>
      </c>
      <c r="C984" t="s">
        <v>13</v>
      </c>
      <c r="D984" t="s">
        <v>18</v>
      </c>
      <c r="E984" s="3">
        <v>44892</v>
      </c>
      <c r="F984" t="s">
        <v>33</v>
      </c>
      <c r="G984" s="2">
        <v>44825</v>
      </c>
      <c r="H984" t="s">
        <v>97</v>
      </c>
      <c r="I984" s="2">
        <v>45231</v>
      </c>
      <c r="J984">
        <v>775.19</v>
      </c>
      <c r="K984">
        <v>46.5</v>
      </c>
      <c r="L984" t="s">
        <v>16</v>
      </c>
      <c r="M984">
        <f t="shared" si="45"/>
        <v>0</v>
      </c>
      <c r="N984">
        <f t="shared" si="46"/>
        <v>775.19</v>
      </c>
      <c r="O984">
        <f t="shared" si="47"/>
        <v>-775.19</v>
      </c>
    </row>
    <row r="985" spans="1:15" x14ac:dyDescent="0.2">
      <c r="A985" t="s">
        <v>96</v>
      </c>
      <c r="B985">
        <v>60565</v>
      </c>
      <c r="C985" t="s">
        <v>13</v>
      </c>
      <c r="D985" t="s">
        <v>18</v>
      </c>
      <c r="E985" s="3">
        <v>44892</v>
      </c>
      <c r="F985" t="s">
        <v>33</v>
      </c>
      <c r="G985" s="2">
        <v>44825</v>
      </c>
      <c r="H985" t="s">
        <v>97</v>
      </c>
      <c r="I985" s="2">
        <v>45261</v>
      </c>
      <c r="J985">
        <v>797.69</v>
      </c>
      <c r="K985">
        <v>29.2</v>
      </c>
      <c r="L985" t="s">
        <v>19</v>
      </c>
      <c r="M985">
        <f t="shared" si="45"/>
        <v>0</v>
      </c>
      <c r="N985">
        <f t="shared" si="46"/>
        <v>797.69</v>
      </c>
      <c r="O985">
        <f t="shared" si="47"/>
        <v>-797.69</v>
      </c>
    </row>
    <row r="986" spans="1:15" x14ac:dyDescent="0.2">
      <c r="A986" t="s">
        <v>98</v>
      </c>
      <c r="B986">
        <v>60540</v>
      </c>
      <c r="C986" t="s">
        <v>13</v>
      </c>
      <c r="D986" t="s">
        <v>18</v>
      </c>
      <c r="E986" s="3">
        <v>44738</v>
      </c>
      <c r="F986" t="s">
        <v>33</v>
      </c>
      <c r="G986" s="2">
        <v>44846</v>
      </c>
      <c r="H986" t="s">
        <v>99</v>
      </c>
      <c r="I986" s="2">
        <v>44562</v>
      </c>
      <c r="J986">
        <v>909.48</v>
      </c>
      <c r="K986">
        <v>43</v>
      </c>
      <c r="L986" t="s">
        <v>16</v>
      </c>
      <c r="M986">
        <f t="shared" si="45"/>
        <v>909.48</v>
      </c>
      <c r="N986">
        <f t="shared" si="46"/>
        <v>0</v>
      </c>
      <c r="O986">
        <f t="shared" si="47"/>
        <v>909.48</v>
      </c>
    </row>
    <row r="987" spans="1:15" x14ac:dyDescent="0.2">
      <c r="A987" t="s">
        <v>98</v>
      </c>
      <c r="B987">
        <v>60540</v>
      </c>
      <c r="C987" t="s">
        <v>13</v>
      </c>
      <c r="D987" t="s">
        <v>18</v>
      </c>
      <c r="E987" s="3">
        <v>44738</v>
      </c>
      <c r="F987" t="s">
        <v>33</v>
      </c>
      <c r="G987" s="2">
        <v>44846</v>
      </c>
      <c r="H987" t="s">
        <v>99</v>
      </c>
      <c r="I987" s="2">
        <v>44593</v>
      </c>
      <c r="J987">
        <v>783.88</v>
      </c>
      <c r="K987">
        <v>26.4</v>
      </c>
      <c r="L987" t="s">
        <v>19</v>
      </c>
      <c r="M987">
        <f t="shared" si="45"/>
        <v>783.88</v>
      </c>
      <c r="N987">
        <f t="shared" si="46"/>
        <v>0</v>
      </c>
      <c r="O987">
        <f t="shared" si="47"/>
        <v>783.88</v>
      </c>
    </row>
    <row r="988" spans="1:15" x14ac:dyDescent="0.2">
      <c r="A988" t="s">
        <v>98</v>
      </c>
      <c r="B988">
        <v>60540</v>
      </c>
      <c r="C988" t="s">
        <v>13</v>
      </c>
      <c r="D988" t="s">
        <v>18</v>
      </c>
      <c r="E988" s="3">
        <v>44738</v>
      </c>
      <c r="F988" t="s">
        <v>33</v>
      </c>
      <c r="G988" s="2">
        <v>44846</v>
      </c>
      <c r="H988" t="s">
        <v>99</v>
      </c>
      <c r="I988" s="2">
        <v>44621</v>
      </c>
      <c r="J988">
        <v>958.4</v>
      </c>
      <c r="K988">
        <v>29.5</v>
      </c>
      <c r="L988" t="s">
        <v>19</v>
      </c>
      <c r="M988">
        <f t="shared" si="45"/>
        <v>958.4</v>
      </c>
      <c r="N988">
        <f t="shared" si="46"/>
        <v>0</v>
      </c>
      <c r="O988">
        <f t="shared" si="47"/>
        <v>958.4</v>
      </c>
    </row>
    <row r="989" spans="1:15" x14ac:dyDescent="0.2">
      <c r="A989" t="s">
        <v>98</v>
      </c>
      <c r="B989">
        <v>60540</v>
      </c>
      <c r="C989" t="s">
        <v>13</v>
      </c>
      <c r="D989" t="s">
        <v>18</v>
      </c>
      <c r="E989" s="3">
        <v>44738</v>
      </c>
      <c r="F989" t="s">
        <v>33</v>
      </c>
      <c r="G989" s="2">
        <v>44846</v>
      </c>
      <c r="H989" t="s">
        <v>99</v>
      </c>
      <c r="I989" s="2">
        <v>44652</v>
      </c>
      <c r="J989">
        <v>1030.78</v>
      </c>
      <c r="K989">
        <v>50.8</v>
      </c>
      <c r="L989" t="s">
        <v>16</v>
      </c>
      <c r="M989">
        <f t="shared" si="45"/>
        <v>1030.78</v>
      </c>
      <c r="N989">
        <f t="shared" si="46"/>
        <v>0</v>
      </c>
      <c r="O989">
        <f t="shared" si="47"/>
        <v>1030.78</v>
      </c>
    </row>
    <row r="990" spans="1:15" x14ac:dyDescent="0.2">
      <c r="A990" t="s">
        <v>98</v>
      </c>
      <c r="B990">
        <v>60540</v>
      </c>
      <c r="C990" t="s">
        <v>13</v>
      </c>
      <c r="D990" t="s">
        <v>18</v>
      </c>
      <c r="E990" s="3">
        <v>44738</v>
      </c>
      <c r="F990" t="s">
        <v>33</v>
      </c>
      <c r="G990" s="2">
        <v>44846</v>
      </c>
      <c r="H990" t="s">
        <v>99</v>
      </c>
      <c r="I990" s="2">
        <v>44682</v>
      </c>
      <c r="J990">
        <v>767.84</v>
      </c>
      <c r="K990">
        <v>46.3</v>
      </c>
      <c r="L990" t="s">
        <v>16</v>
      </c>
      <c r="M990">
        <f t="shared" si="45"/>
        <v>767.84</v>
      </c>
      <c r="N990">
        <f t="shared" si="46"/>
        <v>0</v>
      </c>
      <c r="O990">
        <f t="shared" si="47"/>
        <v>767.84</v>
      </c>
    </row>
    <row r="991" spans="1:15" x14ac:dyDescent="0.2">
      <c r="A991" t="s">
        <v>98</v>
      </c>
      <c r="B991">
        <v>60540</v>
      </c>
      <c r="C991" t="s">
        <v>13</v>
      </c>
      <c r="D991" t="s">
        <v>18</v>
      </c>
      <c r="E991" s="3">
        <v>44738</v>
      </c>
      <c r="F991" t="s">
        <v>33</v>
      </c>
      <c r="G991" s="2">
        <v>44846</v>
      </c>
      <c r="H991" t="s">
        <v>99</v>
      </c>
      <c r="I991" s="2">
        <v>44713</v>
      </c>
      <c r="J991">
        <v>754.9</v>
      </c>
      <c r="K991">
        <v>61.1</v>
      </c>
      <c r="L991" t="s">
        <v>16</v>
      </c>
      <c r="M991">
        <f t="shared" si="45"/>
        <v>754.9</v>
      </c>
      <c r="N991">
        <f t="shared" si="46"/>
        <v>0</v>
      </c>
      <c r="O991">
        <f t="shared" si="47"/>
        <v>754.9</v>
      </c>
    </row>
    <row r="992" spans="1:15" x14ac:dyDescent="0.2">
      <c r="A992" t="s">
        <v>98</v>
      </c>
      <c r="B992">
        <v>60540</v>
      </c>
      <c r="C992" t="s">
        <v>13</v>
      </c>
      <c r="D992" t="s">
        <v>18</v>
      </c>
      <c r="E992" s="3">
        <v>44738</v>
      </c>
      <c r="F992" t="s">
        <v>33</v>
      </c>
      <c r="G992" s="2">
        <v>44846</v>
      </c>
      <c r="H992" t="s">
        <v>99</v>
      </c>
      <c r="I992" s="2">
        <v>44743</v>
      </c>
      <c r="J992">
        <v>814.92</v>
      </c>
      <c r="K992">
        <v>27.4</v>
      </c>
      <c r="L992" t="s">
        <v>19</v>
      </c>
      <c r="M992">
        <f t="shared" si="45"/>
        <v>814.92</v>
      </c>
      <c r="N992">
        <f t="shared" si="46"/>
        <v>0</v>
      </c>
      <c r="O992">
        <f t="shared" si="47"/>
        <v>814.92</v>
      </c>
    </row>
    <row r="993" spans="1:15" x14ac:dyDescent="0.2">
      <c r="A993" t="s">
        <v>98</v>
      </c>
      <c r="B993">
        <v>60540</v>
      </c>
      <c r="C993" t="s">
        <v>13</v>
      </c>
      <c r="D993" t="s">
        <v>18</v>
      </c>
      <c r="E993" s="3">
        <v>44738</v>
      </c>
      <c r="F993" t="s">
        <v>33</v>
      </c>
      <c r="G993" s="2">
        <v>44846</v>
      </c>
      <c r="H993" t="s">
        <v>99</v>
      </c>
      <c r="I993" s="2">
        <v>44774</v>
      </c>
      <c r="J993">
        <v>752.23</v>
      </c>
      <c r="K993">
        <v>54.2</v>
      </c>
      <c r="L993" t="s">
        <v>16</v>
      </c>
      <c r="M993">
        <f t="shared" si="45"/>
        <v>752.23</v>
      </c>
      <c r="N993">
        <f t="shared" si="46"/>
        <v>0</v>
      </c>
      <c r="O993">
        <f t="shared" si="47"/>
        <v>752.23</v>
      </c>
    </row>
    <row r="994" spans="1:15" x14ac:dyDescent="0.2">
      <c r="A994" t="s">
        <v>98</v>
      </c>
      <c r="B994">
        <v>60540</v>
      </c>
      <c r="C994" t="s">
        <v>13</v>
      </c>
      <c r="D994" t="s">
        <v>18</v>
      </c>
      <c r="E994" s="3">
        <v>44738</v>
      </c>
      <c r="F994" t="s">
        <v>33</v>
      </c>
      <c r="G994" s="2">
        <v>44846</v>
      </c>
      <c r="H994" t="s">
        <v>99</v>
      </c>
      <c r="I994" s="2">
        <v>44805</v>
      </c>
      <c r="J994">
        <v>737.61</v>
      </c>
      <c r="K994">
        <v>41.9</v>
      </c>
      <c r="L994" t="s">
        <v>16</v>
      </c>
      <c r="M994">
        <f t="shared" si="45"/>
        <v>737.61</v>
      </c>
      <c r="N994">
        <f t="shared" si="46"/>
        <v>0</v>
      </c>
      <c r="O994">
        <f t="shared" si="47"/>
        <v>737.61</v>
      </c>
    </row>
    <row r="995" spans="1:15" x14ac:dyDescent="0.2">
      <c r="A995" t="s">
        <v>98</v>
      </c>
      <c r="B995">
        <v>60540</v>
      </c>
      <c r="C995" t="s">
        <v>13</v>
      </c>
      <c r="D995" t="s">
        <v>18</v>
      </c>
      <c r="E995" s="3">
        <v>44738</v>
      </c>
      <c r="F995" t="s">
        <v>33</v>
      </c>
      <c r="G995" s="2">
        <v>44846</v>
      </c>
      <c r="H995" t="s">
        <v>99</v>
      </c>
      <c r="I995" s="2">
        <v>44835</v>
      </c>
      <c r="J995">
        <v>746.33</v>
      </c>
      <c r="K995">
        <v>74.099999999999994</v>
      </c>
      <c r="L995" t="s">
        <v>20</v>
      </c>
      <c r="M995">
        <f t="shared" si="45"/>
        <v>746.33</v>
      </c>
      <c r="N995">
        <f t="shared" si="46"/>
        <v>0</v>
      </c>
      <c r="O995">
        <f t="shared" si="47"/>
        <v>746.33</v>
      </c>
    </row>
    <row r="996" spans="1:15" x14ac:dyDescent="0.2">
      <c r="A996" t="s">
        <v>98</v>
      </c>
      <c r="B996">
        <v>60540</v>
      </c>
      <c r="C996" t="s">
        <v>13</v>
      </c>
      <c r="D996" t="s">
        <v>18</v>
      </c>
      <c r="E996" s="3">
        <v>44738</v>
      </c>
      <c r="F996" t="s">
        <v>33</v>
      </c>
      <c r="G996" s="2">
        <v>44846</v>
      </c>
      <c r="H996" t="s">
        <v>99</v>
      </c>
      <c r="I996" s="2">
        <v>44866</v>
      </c>
      <c r="J996">
        <v>971.58</v>
      </c>
      <c r="K996">
        <v>42.6</v>
      </c>
      <c r="L996" t="s">
        <v>16</v>
      </c>
      <c r="M996">
        <f t="shared" si="45"/>
        <v>0</v>
      </c>
      <c r="N996">
        <f t="shared" si="46"/>
        <v>971.58</v>
      </c>
      <c r="O996">
        <f t="shared" si="47"/>
        <v>-971.58</v>
      </c>
    </row>
    <row r="997" spans="1:15" x14ac:dyDescent="0.2">
      <c r="A997" t="s">
        <v>98</v>
      </c>
      <c r="B997">
        <v>60540</v>
      </c>
      <c r="C997" t="s">
        <v>13</v>
      </c>
      <c r="D997" t="s">
        <v>18</v>
      </c>
      <c r="E997" s="3">
        <v>44738</v>
      </c>
      <c r="F997" t="s">
        <v>33</v>
      </c>
      <c r="G997" s="2">
        <v>44846</v>
      </c>
      <c r="H997" t="s">
        <v>99</v>
      </c>
      <c r="I997" s="2">
        <v>44896</v>
      </c>
      <c r="J997">
        <v>877.19</v>
      </c>
      <c r="K997">
        <v>52.3</v>
      </c>
      <c r="L997" t="s">
        <v>16</v>
      </c>
      <c r="M997">
        <f t="shared" si="45"/>
        <v>0</v>
      </c>
      <c r="N997">
        <f t="shared" si="46"/>
        <v>877.19</v>
      </c>
      <c r="O997">
        <f t="shared" si="47"/>
        <v>-877.19</v>
      </c>
    </row>
    <row r="998" spans="1:15" x14ac:dyDescent="0.2">
      <c r="A998" t="s">
        <v>98</v>
      </c>
      <c r="B998">
        <v>60540</v>
      </c>
      <c r="C998" t="s">
        <v>13</v>
      </c>
      <c r="D998" t="s">
        <v>18</v>
      </c>
      <c r="E998" s="3">
        <v>44738</v>
      </c>
      <c r="F998" t="s">
        <v>33</v>
      </c>
      <c r="G998" s="2">
        <v>44846</v>
      </c>
      <c r="H998" t="s">
        <v>99</v>
      </c>
      <c r="I998" s="2">
        <v>44927</v>
      </c>
      <c r="J998">
        <v>651.91</v>
      </c>
      <c r="K998">
        <v>76.2</v>
      </c>
      <c r="L998" t="s">
        <v>20</v>
      </c>
      <c r="M998">
        <f t="shared" si="45"/>
        <v>0</v>
      </c>
      <c r="N998">
        <f t="shared" si="46"/>
        <v>651.91</v>
      </c>
      <c r="O998">
        <f t="shared" si="47"/>
        <v>-651.91</v>
      </c>
    </row>
    <row r="999" spans="1:15" x14ac:dyDescent="0.2">
      <c r="A999" t="s">
        <v>98</v>
      </c>
      <c r="B999">
        <v>60540</v>
      </c>
      <c r="C999" t="s">
        <v>13</v>
      </c>
      <c r="D999" t="s">
        <v>18</v>
      </c>
      <c r="E999" s="3">
        <v>44738</v>
      </c>
      <c r="F999" t="s">
        <v>33</v>
      </c>
      <c r="G999" s="2">
        <v>44846</v>
      </c>
      <c r="H999" t="s">
        <v>99</v>
      </c>
      <c r="I999" s="2">
        <v>44958</v>
      </c>
      <c r="J999">
        <v>454.49</v>
      </c>
      <c r="K999">
        <v>73.7</v>
      </c>
      <c r="L999" t="s">
        <v>20</v>
      </c>
      <c r="M999">
        <f t="shared" si="45"/>
        <v>0</v>
      </c>
      <c r="N999">
        <f t="shared" si="46"/>
        <v>454.49</v>
      </c>
      <c r="O999">
        <f t="shared" si="47"/>
        <v>-454.49</v>
      </c>
    </row>
    <row r="1000" spans="1:15" x14ac:dyDescent="0.2">
      <c r="A1000" t="s">
        <v>98</v>
      </c>
      <c r="B1000">
        <v>60540</v>
      </c>
      <c r="C1000" t="s">
        <v>13</v>
      </c>
      <c r="D1000" t="s">
        <v>18</v>
      </c>
      <c r="E1000" s="3">
        <v>44738</v>
      </c>
      <c r="F1000" t="s">
        <v>33</v>
      </c>
      <c r="G1000" s="2">
        <v>44846</v>
      </c>
      <c r="H1000" t="s">
        <v>99</v>
      </c>
      <c r="I1000" s="2">
        <v>44986</v>
      </c>
      <c r="J1000">
        <v>545.54999999999995</v>
      </c>
      <c r="K1000">
        <v>52.8</v>
      </c>
      <c r="L1000" t="s">
        <v>16</v>
      </c>
      <c r="M1000">
        <f t="shared" si="45"/>
        <v>0</v>
      </c>
      <c r="N1000">
        <f t="shared" si="46"/>
        <v>545.54999999999995</v>
      </c>
      <c r="O1000">
        <f t="shared" si="47"/>
        <v>-545.54999999999995</v>
      </c>
    </row>
    <row r="1001" spans="1:15" x14ac:dyDescent="0.2">
      <c r="A1001" t="s">
        <v>98</v>
      </c>
      <c r="B1001">
        <v>60540</v>
      </c>
      <c r="C1001" t="s">
        <v>13</v>
      </c>
      <c r="D1001" t="s">
        <v>18</v>
      </c>
      <c r="E1001" s="3">
        <v>44738</v>
      </c>
      <c r="F1001" t="s">
        <v>33</v>
      </c>
      <c r="G1001" s="2">
        <v>44846</v>
      </c>
      <c r="H1001" t="s">
        <v>99</v>
      </c>
      <c r="I1001" s="2">
        <v>45017</v>
      </c>
      <c r="J1001">
        <v>750.34</v>
      </c>
      <c r="K1001">
        <v>103.1</v>
      </c>
      <c r="L1001" t="s">
        <v>20</v>
      </c>
      <c r="M1001">
        <f t="shared" si="45"/>
        <v>0</v>
      </c>
      <c r="N1001">
        <f t="shared" si="46"/>
        <v>750.34</v>
      </c>
      <c r="O1001">
        <f t="shared" si="47"/>
        <v>-750.34</v>
      </c>
    </row>
    <row r="1002" spans="1:15" x14ac:dyDescent="0.2">
      <c r="A1002" t="s">
        <v>98</v>
      </c>
      <c r="B1002">
        <v>60540</v>
      </c>
      <c r="C1002" t="s">
        <v>13</v>
      </c>
      <c r="D1002" t="s">
        <v>18</v>
      </c>
      <c r="E1002" s="3">
        <v>44738</v>
      </c>
      <c r="F1002" t="s">
        <v>33</v>
      </c>
      <c r="G1002" s="2">
        <v>44846</v>
      </c>
      <c r="H1002" t="s">
        <v>99</v>
      </c>
      <c r="I1002" s="2">
        <v>45047</v>
      </c>
      <c r="J1002">
        <v>487.84</v>
      </c>
      <c r="K1002">
        <v>40.6</v>
      </c>
      <c r="L1002" t="s">
        <v>16</v>
      </c>
      <c r="M1002">
        <f t="shared" si="45"/>
        <v>0</v>
      </c>
      <c r="N1002">
        <f t="shared" si="46"/>
        <v>487.84</v>
      </c>
      <c r="O1002">
        <f t="shared" si="47"/>
        <v>-487.84</v>
      </c>
    </row>
    <row r="1003" spans="1:15" x14ac:dyDescent="0.2">
      <c r="A1003" t="s">
        <v>98</v>
      </c>
      <c r="B1003">
        <v>60540</v>
      </c>
      <c r="C1003" t="s">
        <v>13</v>
      </c>
      <c r="D1003" t="s">
        <v>18</v>
      </c>
      <c r="E1003" s="3">
        <v>44738</v>
      </c>
      <c r="F1003" t="s">
        <v>33</v>
      </c>
      <c r="G1003" s="2">
        <v>44846</v>
      </c>
      <c r="H1003" t="s">
        <v>99</v>
      </c>
      <c r="I1003" s="2">
        <v>45078</v>
      </c>
      <c r="J1003">
        <v>729.3</v>
      </c>
      <c r="K1003">
        <v>76</v>
      </c>
      <c r="L1003" t="s">
        <v>20</v>
      </c>
      <c r="M1003">
        <f t="shared" si="45"/>
        <v>0</v>
      </c>
      <c r="N1003">
        <f t="shared" si="46"/>
        <v>729.3</v>
      </c>
      <c r="O1003">
        <f t="shared" si="47"/>
        <v>-729.3</v>
      </c>
    </row>
    <row r="1004" spans="1:15" x14ac:dyDescent="0.2">
      <c r="A1004" t="s">
        <v>98</v>
      </c>
      <c r="B1004">
        <v>60540</v>
      </c>
      <c r="C1004" t="s">
        <v>13</v>
      </c>
      <c r="D1004" t="s">
        <v>18</v>
      </c>
      <c r="E1004" s="3">
        <v>44738</v>
      </c>
      <c r="F1004" t="s">
        <v>33</v>
      </c>
      <c r="G1004" s="2">
        <v>44846</v>
      </c>
      <c r="H1004" t="s">
        <v>99</v>
      </c>
      <c r="I1004" s="2">
        <v>45108</v>
      </c>
      <c r="J1004">
        <v>593.44000000000005</v>
      </c>
      <c r="K1004">
        <v>38.9</v>
      </c>
      <c r="L1004" t="s">
        <v>19</v>
      </c>
      <c r="M1004">
        <f t="shared" si="45"/>
        <v>0</v>
      </c>
      <c r="N1004">
        <f t="shared" si="46"/>
        <v>593.44000000000005</v>
      </c>
      <c r="O1004">
        <f t="shared" si="47"/>
        <v>-593.44000000000005</v>
      </c>
    </row>
    <row r="1005" spans="1:15" x14ac:dyDescent="0.2">
      <c r="A1005" t="s">
        <v>98</v>
      </c>
      <c r="B1005">
        <v>60540</v>
      </c>
      <c r="C1005" t="s">
        <v>13</v>
      </c>
      <c r="D1005" t="s">
        <v>18</v>
      </c>
      <c r="E1005" s="3">
        <v>44738</v>
      </c>
      <c r="F1005" t="s">
        <v>33</v>
      </c>
      <c r="G1005" s="2">
        <v>44846</v>
      </c>
      <c r="H1005" t="s">
        <v>99</v>
      </c>
      <c r="I1005" s="2">
        <v>45139</v>
      </c>
      <c r="J1005">
        <v>709.18</v>
      </c>
      <c r="K1005">
        <v>80</v>
      </c>
      <c r="L1005" t="s">
        <v>20</v>
      </c>
      <c r="M1005">
        <f t="shared" si="45"/>
        <v>0</v>
      </c>
      <c r="N1005">
        <f t="shared" si="46"/>
        <v>709.18</v>
      </c>
      <c r="O1005">
        <f t="shared" si="47"/>
        <v>-709.18</v>
      </c>
    </row>
    <row r="1006" spans="1:15" x14ac:dyDescent="0.2">
      <c r="A1006" t="s">
        <v>98</v>
      </c>
      <c r="B1006">
        <v>60540</v>
      </c>
      <c r="C1006" t="s">
        <v>13</v>
      </c>
      <c r="D1006" t="s">
        <v>18</v>
      </c>
      <c r="E1006" s="3">
        <v>44738</v>
      </c>
      <c r="F1006" t="s">
        <v>33</v>
      </c>
      <c r="G1006" s="2">
        <v>44846</v>
      </c>
      <c r="H1006" t="s">
        <v>99</v>
      </c>
      <c r="I1006" s="2">
        <v>45170</v>
      </c>
      <c r="J1006">
        <v>706.39</v>
      </c>
      <c r="K1006">
        <v>84.9</v>
      </c>
      <c r="L1006" t="s">
        <v>20</v>
      </c>
      <c r="M1006">
        <f t="shared" si="45"/>
        <v>0</v>
      </c>
      <c r="N1006">
        <f t="shared" si="46"/>
        <v>706.39</v>
      </c>
      <c r="O1006">
        <f t="shared" si="47"/>
        <v>-706.39</v>
      </c>
    </row>
    <row r="1007" spans="1:15" x14ac:dyDescent="0.2">
      <c r="A1007" t="s">
        <v>98</v>
      </c>
      <c r="B1007">
        <v>60540</v>
      </c>
      <c r="C1007" t="s">
        <v>13</v>
      </c>
      <c r="D1007" t="s">
        <v>18</v>
      </c>
      <c r="E1007" s="3">
        <v>44738</v>
      </c>
      <c r="F1007" t="s">
        <v>33</v>
      </c>
      <c r="G1007" s="2">
        <v>44846</v>
      </c>
      <c r="H1007" t="s">
        <v>99</v>
      </c>
      <c r="I1007" s="2">
        <v>45200</v>
      </c>
      <c r="J1007">
        <v>712.06</v>
      </c>
      <c r="K1007">
        <v>80.8</v>
      </c>
      <c r="L1007" t="s">
        <v>20</v>
      </c>
      <c r="M1007">
        <f t="shared" si="45"/>
        <v>0</v>
      </c>
      <c r="N1007">
        <f t="shared" si="46"/>
        <v>712.06</v>
      </c>
      <c r="O1007">
        <f t="shared" si="47"/>
        <v>-712.06</v>
      </c>
    </row>
    <row r="1008" spans="1:15" x14ac:dyDescent="0.2">
      <c r="A1008" t="s">
        <v>98</v>
      </c>
      <c r="B1008">
        <v>60540</v>
      </c>
      <c r="C1008" t="s">
        <v>13</v>
      </c>
      <c r="D1008" t="s">
        <v>18</v>
      </c>
      <c r="E1008" s="3">
        <v>44738</v>
      </c>
      <c r="F1008" t="s">
        <v>33</v>
      </c>
      <c r="G1008" s="2">
        <v>44846</v>
      </c>
      <c r="H1008" t="s">
        <v>99</v>
      </c>
      <c r="I1008" s="2">
        <v>45231</v>
      </c>
      <c r="J1008">
        <v>660.56</v>
      </c>
      <c r="K1008">
        <v>46.5</v>
      </c>
      <c r="L1008" t="s">
        <v>16</v>
      </c>
      <c r="M1008">
        <f t="shared" si="45"/>
        <v>0</v>
      </c>
      <c r="N1008">
        <f t="shared" si="46"/>
        <v>660.56</v>
      </c>
      <c r="O1008">
        <f t="shared" si="47"/>
        <v>-660.56</v>
      </c>
    </row>
    <row r="1009" spans="1:15" x14ac:dyDescent="0.2">
      <c r="A1009" t="s">
        <v>98</v>
      </c>
      <c r="B1009">
        <v>60540</v>
      </c>
      <c r="C1009" t="s">
        <v>13</v>
      </c>
      <c r="D1009" t="s">
        <v>18</v>
      </c>
      <c r="E1009" s="3">
        <v>44738</v>
      </c>
      <c r="F1009" t="s">
        <v>33</v>
      </c>
      <c r="G1009" s="2">
        <v>44846</v>
      </c>
      <c r="H1009" t="s">
        <v>99</v>
      </c>
      <c r="I1009" s="2">
        <v>45261</v>
      </c>
      <c r="J1009">
        <v>657.27</v>
      </c>
      <c r="K1009">
        <v>29.2</v>
      </c>
      <c r="L1009" t="s">
        <v>19</v>
      </c>
      <c r="M1009">
        <f t="shared" si="45"/>
        <v>0</v>
      </c>
      <c r="N1009">
        <f t="shared" si="46"/>
        <v>657.27</v>
      </c>
      <c r="O1009">
        <f t="shared" si="47"/>
        <v>-657.27</v>
      </c>
    </row>
    <row r="1010" spans="1:15" x14ac:dyDescent="0.2">
      <c r="A1010" t="s">
        <v>100</v>
      </c>
      <c r="B1010">
        <v>60563</v>
      </c>
      <c r="C1010" t="s">
        <v>13</v>
      </c>
      <c r="D1010" t="s">
        <v>18</v>
      </c>
      <c r="E1010" s="3">
        <v>44669</v>
      </c>
      <c r="F1010" t="s">
        <v>39</v>
      </c>
      <c r="G1010" s="2">
        <v>44824</v>
      </c>
      <c r="H1010" t="s">
        <v>101</v>
      </c>
      <c r="I1010" s="2">
        <v>44562</v>
      </c>
      <c r="J1010">
        <v>881.26</v>
      </c>
      <c r="K1010">
        <v>43</v>
      </c>
      <c r="L1010" t="s">
        <v>16</v>
      </c>
      <c r="M1010">
        <f t="shared" si="45"/>
        <v>881.26</v>
      </c>
      <c r="N1010">
        <f t="shared" si="46"/>
        <v>0</v>
      </c>
      <c r="O1010">
        <f t="shared" si="47"/>
        <v>881.26</v>
      </c>
    </row>
    <row r="1011" spans="1:15" x14ac:dyDescent="0.2">
      <c r="A1011" t="s">
        <v>100</v>
      </c>
      <c r="B1011">
        <v>60563</v>
      </c>
      <c r="C1011" t="s">
        <v>13</v>
      </c>
      <c r="D1011" t="s">
        <v>18</v>
      </c>
      <c r="E1011" s="3">
        <v>44669</v>
      </c>
      <c r="F1011" t="s">
        <v>39</v>
      </c>
      <c r="G1011" s="2">
        <v>44824</v>
      </c>
      <c r="H1011" t="s">
        <v>101</v>
      </c>
      <c r="I1011" s="2">
        <v>44593</v>
      </c>
      <c r="J1011">
        <v>611.92999999999995</v>
      </c>
      <c r="K1011">
        <v>26.4</v>
      </c>
      <c r="L1011" t="s">
        <v>19</v>
      </c>
      <c r="M1011">
        <f t="shared" si="45"/>
        <v>611.92999999999995</v>
      </c>
      <c r="N1011">
        <f t="shared" si="46"/>
        <v>0</v>
      </c>
      <c r="O1011">
        <f t="shared" si="47"/>
        <v>611.92999999999995</v>
      </c>
    </row>
    <row r="1012" spans="1:15" x14ac:dyDescent="0.2">
      <c r="A1012" t="s">
        <v>100</v>
      </c>
      <c r="B1012">
        <v>60563</v>
      </c>
      <c r="C1012" t="s">
        <v>13</v>
      </c>
      <c r="D1012" t="s">
        <v>18</v>
      </c>
      <c r="E1012" s="3">
        <v>44669</v>
      </c>
      <c r="F1012" t="s">
        <v>39</v>
      </c>
      <c r="G1012" s="2">
        <v>44824</v>
      </c>
      <c r="H1012" t="s">
        <v>101</v>
      </c>
      <c r="I1012" s="2">
        <v>44621</v>
      </c>
      <c r="J1012">
        <v>814.32</v>
      </c>
      <c r="K1012">
        <v>29.5</v>
      </c>
      <c r="L1012" t="s">
        <v>19</v>
      </c>
      <c r="M1012">
        <f t="shared" si="45"/>
        <v>814.32</v>
      </c>
      <c r="N1012">
        <f t="shared" si="46"/>
        <v>0</v>
      </c>
      <c r="O1012">
        <f t="shared" si="47"/>
        <v>814.32</v>
      </c>
    </row>
    <row r="1013" spans="1:15" x14ac:dyDescent="0.2">
      <c r="A1013" t="s">
        <v>100</v>
      </c>
      <c r="B1013">
        <v>60563</v>
      </c>
      <c r="C1013" t="s">
        <v>13</v>
      </c>
      <c r="D1013" t="s">
        <v>18</v>
      </c>
      <c r="E1013" s="3">
        <v>44669</v>
      </c>
      <c r="F1013" t="s">
        <v>39</v>
      </c>
      <c r="G1013" s="2">
        <v>44824</v>
      </c>
      <c r="H1013" t="s">
        <v>101</v>
      </c>
      <c r="I1013" s="2">
        <v>44652</v>
      </c>
      <c r="J1013">
        <v>897.83</v>
      </c>
      <c r="K1013">
        <v>50.8</v>
      </c>
      <c r="L1013" t="s">
        <v>16</v>
      </c>
      <c r="M1013">
        <f t="shared" si="45"/>
        <v>897.83</v>
      </c>
      <c r="N1013">
        <f t="shared" si="46"/>
        <v>0</v>
      </c>
      <c r="O1013">
        <f t="shared" si="47"/>
        <v>897.83</v>
      </c>
    </row>
    <row r="1014" spans="1:15" x14ac:dyDescent="0.2">
      <c r="A1014" t="s">
        <v>100</v>
      </c>
      <c r="B1014">
        <v>60563</v>
      </c>
      <c r="C1014" t="s">
        <v>13</v>
      </c>
      <c r="D1014" t="s">
        <v>18</v>
      </c>
      <c r="E1014" s="3">
        <v>44669</v>
      </c>
      <c r="F1014" t="s">
        <v>39</v>
      </c>
      <c r="G1014" s="2">
        <v>44824</v>
      </c>
      <c r="H1014" t="s">
        <v>101</v>
      </c>
      <c r="I1014" s="2">
        <v>44682</v>
      </c>
      <c r="J1014">
        <v>886.2</v>
      </c>
      <c r="K1014">
        <v>46.3</v>
      </c>
      <c r="L1014" t="s">
        <v>16</v>
      </c>
      <c r="M1014">
        <f t="shared" si="45"/>
        <v>886.2</v>
      </c>
      <c r="N1014">
        <f t="shared" si="46"/>
        <v>0</v>
      </c>
      <c r="O1014">
        <f t="shared" si="47"/>
        <v>886.2</v>
      </c>
    </row>
    <row r="1015" spans="1:15" x14ac:dyDescent="0.2">
      <c r="A1015" t="s">
        <v>100</v>
      </c>
      <c r="B1015">
        <v>60563</v>
      </c>
      <c r="C1015" t="s">
        <v>13</v>
      </c>
      <c r="D1015" t="s">
        <v>18</v>
      </c>
      <c r="E1015" s="3">
        <v>44669</v>
      </c>
      <c r="F1015" t="s">
        <v>39</v>
      </c>
      <c r="G1015" s="2">
        <v>44824</v>
      </c>
      <c r="H1015" t="s">
        <v>101</v>
      </c>
      <c r="I1015" s="2">
        <v>44713</v>
      </c>
      <c r="J1015">
        <v>862.34</v>
      </c>
      <c r="K1015">
        <v>61.1</v>
      </c>
      <c r="L1015" t="s">
        <v>16</v>
      </c>
      <c r="M1015">
        <f t="shared" si="45"/>
        <v>862.34</v>
      </c>
      <c r="N1015">
        <f t="shared" si="46"/>
        <v>0</v>
      </c>
      <c r="O1015">
        <f t="shared" si="47"/>
        <v>862.34</v>
      </c>
    </row>
    <row r="1016" spans="1:15" x14ac:dyDescent="0.2">
      <c r="A1016" t="s">
        <v>100</v>
      </c>
      <c r="B1016">
        <v>60563</v>
      </c>
      <c r="C1016" t="s">
        <v>13</v>
      </c>
      <c r="D1016" t="s">
        <v>18</v>
      </c>
      <c r="E1016" s="3">
        <v>44669</v>
      </c>
      <c r="F1016" t="s">
        <v>39</v>
      </c>
      <c r="G1016" s="2">
        <v>44824</v>
      </c>
      <c r="H1016" t="s">
        <v>101</v>
      </c>
      <c r="I1016" s="2">
        <v>44743</v>
      </c>
      <c r="J1016">
        <v>801.3</v>
      </c>
      <c r="K1016">
        <v>27.4</v>
      </c>
      <c r="L1016" t="s">
        <v>19</v>
      </c>
      <c r="M1016">
        <f t="shared" si="45"/>
        <v>801.3</v>
      </c>
      <c r="N1016">
        <f t="shared" si="46"/>
        <v>0</v>
      </c>
      <c r="O1016">
        <f t="shared" si="47"/>
        <v>801.3</v>
      </c>
    </row>
    <row r="1017" spans="1:15" x14ac:dyDescent="0.2">
      <c r="A1017" t="s">
        <v>100</v>
      </c>
      <c r="B1017">
        <v>60563</v>
      </c>
      <c r="C1017" t="s">
        <v>13</v>
      </c>
      <c r="D1017" t="s">
        <v>18</v>
      </c>
      <c r="E1017" s="3">
        <v>44669</v>
      </c>
      <c r="F1017" t="s">
        <v>39</v>
      </c>
      <c r="G1017" s="2">
        <v>44824</v>
      </c>
      <c r="H1017" t="s">
        <v>101</v>
      </c>
      <c r="I1017" s="2">
        <v>44774</v>
      </c>
      <c r="J1017">
        <v>806.16</v>
      </c>
      <c r="K1017">
        <v>54.2</v>
      </c>
      <c r="L1017" t="s">
        <v>16</v>
      </c>
      <c r="M1017">
        <f t="shared" si="45"/>
        <v>806.16</v>
      </c>
      <c r="N1017">
        <f t="shared" si="46"/>
        <v>0</v>
      </c>
      <c r="O1017">
        <f t="shared" si="47"/>
        <v>806.16</v>
      </c>
    </row>
    <row r="1018" spans="1:15" x14ac:dyDescent="0.2">
      <c r="A1018" t="s">
        <v>100</v>
      </c>
      <c r="B1018">
        <v>60563</v>
      </c>
      <c r="C1018" t="s">
        <v>13</v>
      </c>
      <c r="D1018" t="s">
        <v>18</v>
      </c>
      <c r="E1018" s="3">
        <v>44669</v>
      </c>
      <c r="F1018" t="s">
        <v>39</v>
      </c>
      <c r="G1018" s="2">
        <v>44824</v>
      </c>
      <c r="H1018" t="s">
        <v>101</v>
      </c>
      <c r="I1018" s="2">
        <v>44805</v>
      </c>
      <c r="J1018">
        <v>630.66999999999996</v>
      </c>
      <c r="K1018">
        <v>41.9</v>
      </c>
      <c r="L1018" t="s">
        <v>16</v>
      </c>
      <c r="M1018">
        <f t="shared" si="45"/>
        <v>630.66999999999996</v>
      </c>
      <c r="N1018">
        <f t="shared" si="46"/>
        <v>0</v>
      </c>
      <c r="O1018">
        <f t="shared" si="47"/>
        <v>630.66999999999996</v>
      </c>
    </row>
    <row r="1019" spans="1:15" x14ac:dyDescent="0.2">
      <c r="A1019" t="s">
        <v>100</v>
      </c>
      <c r="B1019">
        <v>60563</v>
      </c>
      <c r="C1019" t="s">
        <v>13</v>
      </c>
      <c r="D1019" t="s">
        <v>18</v>
      </c>
      <c r="E1019" s="3">
        <v>44669</v>
      </c>
      <c r="F1019" t="s">
        <v>39</v>
      </c>
      <c r="G1019" s="2">
        <v>44824</v>
      </c>
      <c r="H1019" t="s">
        <v>101</v>
      </c>
      <c r="I1019" s="2">
        <v>44835</v>
      </c>
      <c r="J1019">
        <v>709.95</v>
      </c>
      <c r="K1019">
        <v>74.099999999999994</v>
      </c>
      <c r="L1019" t="s">
        <v>20</v>
      </c>
      <c r="M1019">
        <f t="shared" si="45"/>
        <v>0</v>
      </c>
      <c r="N1019">
        <f t="shared" si="46"/>
        <v>709.95</v>
      </c>
      <c r="O1019">
        <f t="shared" si="47"/>
        <v>-709.95</v>
      </c>
    </row>
    <row r="1020" spans="1:15" x14ac:dyDescent="0.2">
      <c r="A1020" t="s">
        <v>100</v>
      </c>
      <c r="B1020">
        <v>60563</v>
      </c>
      <c r="C1020" t="s">
        <v>13</v>
      </c>
      <c r="D1020" t="s">
        <v>18</v>
      </c>
      <c r="E1020" s="3">
        <v>44669</v>
      </c>
      <c r="F1020" t="s">
        <v>39</v>
      </c>
      <c r="G1020" s="2">
        <v>44824</v>
      </c>
      <c r="H1020" t="s">
        <v>101</v>
      </c>
      <c r="I1020" s="2">
        <v>44866</v>
      </c>
      <c r="J1020">
        <v>823.09</v>
      </c>
      <c r="K1020">
        <v>42.6</v>
      </c>
      <c r="L1020" t="s">
        <v>16</v>
      </c>
      <c r="M1020">
        <f t="shared" si="45"/>
        <v>0</v>
      </c>
      <c r="N1020">
        <f t="shared" si="46"/>
        <v>823.09</v>
      </c>
      <c r="O1020">
        <f t="shared" si="47"/>
        <v>-823.09</v>
      </c>
    </row>
    <row r="1021" spans="1:15" x14ac:dyDescent="0.2">
      <c r="A1021" t="s">
        <v>100</v>
      </c>
      <c r="B1021">
        <v>60563</v>
      </c>
      <c r="C1021" t="s">
        <v>13</v>
      </c>
      <c r="D1021" t="s">
        <v>18</v>
      </c>
      <c r="E1021" s="3">
        <v>44669</v>
      </c>
      <c r="F1021" t="s">
        <v>39</v>
      </c>
      <c r="G1021" s="2">
        <v>44824</v>
      </c>
      <c r="H1021" t="s">
        <v>101</v>
      </c>
      <c r="I1021" s="2">
        <v>44896</v>
      </c>
      <c r="J1021">
        <v>728.4</v>
      </c>
      <c r="K1021">
        <v>52.3</v>
      </c>
      <c r="L1021" t="s">
        <v>16</v>
      </c>
      <c r="M1021">
        <f t="shared" si="45"/>
        <v>0</v>
      </c>
      <c r="N1021">
        <f t="shared" si="46"/>
        <v>728.4</v>
      </c>
      <c r="O1021">
        <f t="shared" si="47"/>
        <v>-728.4</v>
      </c>
    </row>
    <row r="1022" spans="1:15" x14ac:dyDescent="0.2">
      <c r="A1022" t="s">
        <v>100</v>
      </c>
      <c r="B1022">
        <v>60563</v>
      </c>
      <c r="C1022" t="s">
        <v>13</v>
      </c>
      <c r="D1022" t="s">
        <v>18</v>
      </c>
      <c r="E1022" s="3">
        <v>44669</v>
      </c>
      <c r="F1022" t="s">
        <v>39</v>
      </c>
      <c r="G1022" s="2">
        <v>44824</v>
      </c>
      <c r="H1022" t="s">
        <v>101</v>
      </c>
      <c r="I1022" s="2">
        <v>44927</v>
      </c>
      <c r="J1022">
        <v>768.88</v>
      </c>
      <c r="K1022">
        <v>76.2</v>
      </c>
      <c r="L1022" t="s">
        <v>20</v>
      </c>
      <c r="M1022">
        <f t="shared" si="45"/>
        <v>0</v>
      </c>
      <c r="N1022">
        <f t="shared" si="46"/>
        <v>768.88</v>
      </c>
      <c r="O1022">
        <f t="shared" si="47"/>
        <v>-768.88</v>
      </c>
    </row>
    <row r="1023" spans="1:15" x14ac:dyDescent="0.2">
      <c r="A1023" t="s">
        <v>100</v>
      </c>
      <c r="B1023">
        <v>60563</v>
      </c>
      <c r="C1023" t="s">
        <v>13</v>
      </c>
      <c r="D1023" t="s">
        <v>18</v>
      </c>
      <c r="E1023" s="3">
        <v>44669</v>
      </c>
      <c r="F1023" t="s">
        <v>39</v>
      </c>
      <c r="G1023" s="2">
        <v>44824</v>
      </c>
      <c r="H1023" t="s">
        <v>101</v>
      </c>
      <c r="I1023" s="2">
        <v>44958</v>
      </c>
      <c r="J1023">
        <v>746.68</v>
      </c>
      <c r="K1023">
        <v>73.7</v>
      </c>
      <c r="L1023" t="s">
        <v>20</v>
      </c>
      <c r="M1023">
        <f t="shared" si="45"/>
        <v>0</v>
      </c>
      <c r="N1023">
        <f t="shared" si="46"/>
        <v>746.68</v>
      </c>
      <c r="O1023">
        <f t="shared" si="47"/>
        <v>-746.68</v>
      </c>
    </row>
    <row r="1024" spans="1:15" x14ac:dyDescent="0.2">
      <c r="A1024" t="s">
        <v>100</v>
      </c>
      <c r="B1024">
        <v>60563</v>
      </c>
      <c r="C1024" t="s">
        <v>13</v>
      </c>
      <c r="D1024" t="s">
        <v>18</v>
      </c>
      <c r="E1024" s="3">
        <v>44669</v>
      </c>
      <c r="F1024" t="s">
        <v>39</v>
      </c>
      <c r="G1024" s="2">
        <v>44824</v>
      </c>
      <c r="H1024" t="s">
        <v>101</v>
      </c>
      <c r="I1024" s="2">
        <v>44986</v>
      </c>
      <c r="J1024">
        <v>836.74</v>
      </c>
      <c r="K1024">
        <v>52.8</v>
      </c>
      <c r="L1024" t="s">
        <v>16</v>
      </c>
      <c r="M1024">
        <f t="shared" si="45"/>
        <v>0</v>
      </c>
      <c r="N1024">
        <f t="shared" si="46"/>
        <v>836.74</v>
      </c>
      <c r="O1024">
        <f t="shared" si="47"/>
        <v>-836.74</v>
      </c>
    </row>
    <row r="1025" spans="1:15" x14ac:dyDescent="0.2">
      <c r="A1025" t="s">
        <v>100</v>
      </c>
      <c r="B1025">
        <v>60563</v>
      </c>
      <c r="C1025" t="s">
        <v>13</v>
      </c>
      <c r="D1025" t="s">
        <v>18</v>
      </c>
      <c r="E1025" s="3">
        <v>44669</v>
      </c>
      <c r="F1025" t="s">
        <v>39</v>
      </c>
      <c r="G1025" s="2">
        <v>44824</v>
      </c>
      <c r="H1025" t="s">
        <v>101</v>
      </c>
      <c r="I1025" s="2">
        <v>45017</v>
      </c>
      <c r="J1025">
        <v>795.83</v>
      </c>
      <c r="K1025">
        <v>103.1</v>
      </c>
      <c r="L1025" t="s">
        <v>20</v>
      </c>
      <c r="M1025">
        <f t="shared" si="45"/>
        <v>0</v>
      </c>
      <c r="N1025">
        <f t="shared" si="46"/>
        <v>795.83</v>
      </c>
      <c r="O1025">
        <f t="shared" si="47"/>
        <v>-795.83</v>
      </c>
    </row>
    <row r="1026" spans="1:15" x14ac:dyDescent="0.2">
      <c r="A1026" t="s">
        <v>100</v>
      </c>
      <c r="B1026">
        <v>60563</v>
      </c>
      <c r="C1026" t="s">
        <v>13</v>
      </c>
      <c r="D1026" t="s">
        <v>18</v>
      </c>
      <c r="E1026" s="3">
        <v>44669</v>
      </c>
      <c r="F1026" t="s">
        <v>39</v>
      </c>
      <c r="G1026" s="2">
        <v>44824</v>
      </c>
      <c r="H1026" t="s">
        <v>101</v>
      </c>
      <c r="I1026" s="2">
        <v>45047</v>
      </c>
      <c r="J1026">
        <v>722.73</v>
      </c>
      <c r="K1026">
        <v>40.6</v>
      </c>
      <c r="L1026" t="s">
        <v>16</v>
      </c>
      <c r="M1026">
        <f t="shared" ref="M1026:M1089" si="48">SUMIFS(J1026,I1026, "&lt;" &amp;G1026,I1026,"&lt;&gt;",G1026,"&lt;&gt;")</f>
        <v>0</v>
      </c>
      <c r="N1026">
        <f t="shared" ref="N1026:N1089" si="49">SUMIFS(J1026,I1026, "&gt;=" &amp;G1026,I1026,"&lt;&gt;",G1026,"&lt;&gt;")</f>
        <v>722.73</v>
      </c>
      <c r="O1026">
        <f t="shared" ref="O1026:O1089" si="50">SUM(M1026-N1026)</f>
        <v>-722.73</v>
      </c>
    </row>
    <row r="1027" spans="1:15" x14ac:dyDescent="0.2">
      <c r="A1027" t="s">
        <v>100</v>
      </c>
      <c r="B1027">
        <v>60563</v>
      </c>
      <c r="C1027" t="s">
        <v>13</v>
      </c>
      <c r="D1027" t="s">
        <v>18</v>
      </c>
      <c r="E1027" s="3">
        <v>44669</v>
      </c>
      <c r="F1027" t="s">
        <v>39</v>
      </c>
      <c r="G1027" s="2">
        <v>44824</v>
      </c>
      <c r="H1027" t="s">
        <v>101</v>
      </c>
      <c r="I1027" s="2">
        <v>45078</v>
      </c>
      <c r="J1027">
        <v>774.8</v>
      </c>
      <c r="K1027">
        <v>76</v>
      </c>
      <c r="L1027" t="s">
        <v>20</v>
      </c>
      <c r="M1027">
        <f t="shared" si="48"/>
        <v>0</v>
      </c>
      <c r="N1027">
        <f t="shared" si="49"/>
        <v>774.8</v>
      </c>
      <c r="O1027">
        <f t="shared" si="50"/>
        <v>-774.8</v>
      </c>
    </row>
    <row r="1028" spans="1:15" x14ac:dyDescent="0.2">
      <c r="A1028" t="s">
        <v>100</v>
      </c>
      <c r="B1028">
        <v>60563</v>
      </c>
      <c r="C1028" t="s">
        <v>13</v>
      </c>
      <c r="D1028" t="s">
        <v>18</v>
      </c>
      <c r="E1028" s="3">
        <v>44669</v>
      </c>
      <c r="F1028" t="s">
        <v>39</v>
      </c>
      <c r="G1028" s="2">
        <v>44824</v>
      </c>
      <c r="H1028" t="s">
        <v>101</v>
      </c>
      <c r="I1028" s="2">
        <v>45108</v>
      </c>
      <c r="J1028">
        <v>800.51</v>
      </c>
      <c r="K1028">
        <v>38.9</v>
      </c>
      <c r="L1028" t="s">
        <v>19</v>
      </c>
      <c r="M1028">
        <f t="shared" si="48"/>
        <v>0</v>
      </c>
      <c r="N1028">
        <f t="shared" si="49"/>
        <v>800.51</v>
      </c>
      <c r="O1028">
        <f t="shared" si="50"/>
        <v>-800.51</v>
      </c>
    </row>
    <row r="1029" spans="1:15" x14ac:dyDescent="0.2">
      <c r="A1029" t="s">
        <v>100</v>
      </c>
      <c r="B1029">
        <v>60563</v>
      </c>
      <c r="C1029" t="s">
        <v>13</v>
      </c>
      <c r="D1029" t="s">
        <v>18</v>
      </c>
      <c r="E1029" s="3">
        <v>44669</v>
      </c>
      <c r="F1029" t="s">
        <v>39</v>
      </c>
      <c r="G1029" s="2">
        <v>44824</v>
      </c>
      <c r="H1029" t="s">
        <v>101</v>
      </c>
      <c r="I1029" s="2">
        <v>45139</v>
      </c>
      <c r="J1029">
        <v>649.26</v>
      </c>
      <c r="K1029">
        <v>80</v>
      </c>
      <c r="L1029" t="s">
        <v>20</v>
      </c>
      <c r="M1029">
        <f t="shared" si="48"/>
        <v>0</v>
      </c>
      <c r="N1029">
        <f t="shared" si="49"/>
        <v>649.26</v>
      </c>
      <c r="O1029">
        <f t="shared" si="50"/>
        <v>-649.26</v>
      </c>
    </row>
    <row r="1030" spans="1:15" x14ac:dyDescent="0.2">
      <c r="A1030" t="s">
        <v>100</v>
      </c>
      <c r="B1030">
        <v>60563</v>
      </c>
      <c r="C1030" t="s">
        <v>13</v>
      </c>
      <c r="D1030" t="s">
        <v>18</v>
      </c>
      <c r="E1030" s="3">
        <v>44669</v>
      </c>
      <c r="F1030" t="s">
        <v>39</v>
      </c>
      <c r="G1030" s="2">
        <v>44824</v>
      </c>
      <c r="H1030" t="s">
        <v>101</v>
      </c>
      <c r="I1030" s="2">
        <v>45170</v>
      </c>
      <c r="J1030">
        <v>667.07</v>
      </c>
      <c r="K1030">
        <v>84.9</v>
      </c>
      <c r="L1030" t="s">
        <v>20</v>
      </c>
      <c r="M1030">
        <f t="shared" si="48"/>
        <v>0</v>
      </c>
      <c r="N1030">
        <f t="shared" si="49"/>
        <v>667.07</v>
      </c>
      <c r="O1030">
        <f t="shared" si="50"/>
        <v>-667.07</v>
      </c>
    </row>
    <row r="1031" spans="1:15" x14ac:dyDescent="0.2">
      <c r="A1031" t="s">
        <v>100</v>
      </c>
      <c r="B1031">
        <v>60563</v>
      </c>
      <c r="C1031" t="s">
        <v>13</v>
      </c>
      <c r="D1031" t="s">
        <v>18</v>
      </c>
      <c r="E1031" s="3">
        <v>44669</v>
      </c>
      <c r="F1031" t="s">
        <v>39</v>
      </c>
      <c r="G1031" s="2">
        <v>44824</v>
      </c>
      <c r="H1031" t="s">
        <v>101</v>
      </c>
      <c r="I1031" s="2">
        <v>45200</v>
      </c>
      <c r="J1031">
        <v>690.32</v>
      </c>
      <c r="K1031">
        <v>80.8</v>
      </c>
      <c r="L1031" t="s">
        <v>20</v>
      </c>
      <c r="M1031">
        <f t="shared" si="48"/>
        <v>0</v>
      </c>
      <c r="N1031">
        <f t="shared" si="49"/>
        <v>690.32</v>
      </c>
      <c r="O1031">
        <f t="shared" si="50"/>
        <v>-690.32</v>
      </c>
    </row>
    <row r="1032" spans="1:15" x14ac:dyDescent="0.2">
      <c r="A1032" t="s">
        <v>100</v>
      </c>
      <c r="B1032">
        <v>60563</v>
      </c>
      <c r="C1032" t="s">
        <v>13</v>
      </c>
      <c r="D1032" t="s">
        <v>18</v>
      </c>
      <c r="E1032" s="3">
        <v>44669</v>
      </c>
      <c r="F1032" t="s">
        <v>39</v>
      </c>
      <c r="G1032" s="2">
        <v>44824</v>
      </c>
      <c r="H1032" t="s">
        <v>101</v>
      </c>
      <c r="I1032" s="2">
        <v>45231</v>
      </c>
      <c r="J1032">
        <v>652.45000000000005</v>
      </c>
      <c r="K1032">
        <v>46.5</v>
      </c>
      <c r="L1032" t="s">
        <v>16</v>
      </c>
      <c r="M1032">
        <f t="shared" si="48"/>
        <v>0</v>
      </c>
      <c r="N1032">
        <f t="shared" si="49"/>
        <v>652.45000000000005</v>
      </c>
      <c r="O1032">
        <f t="shared" si="50"/>
        <v>-652.45000000000005</v>
      </c>
    </row>
    <row r="1033" spans="1:15" x14ac:dyDescent="0.2">
      <c r="A1033" t="s">
        <v>100</v>
      </c>
      <c r="B1033">
        <v>60563</v>
      </c>
      <c r="C1033" t="s">
        <v>13</v>
      </c>
      <c r="D1033" t="s">
        <v>18</v>
      </c>
      <c r="E1033" s="3">
        <v>44669</v>
      </c>
      <c r="F1033" t="s">
        <v>39</v>
      </c>
      <c r="G1033" s="2">
        <v>44824</v>
      </c>
      <c r="H1033" t="s">
        <v>101</v>
      </c>
      <c r="I1033" s="2">
        <v>45261</v>
      </c>
      <c r="J1033">
        <v>801.57</v>
      </c>
      <c r="K1033">
        <v>29.2</v>
      </c>
      <c r="L1033" t="s">
        <v>19</v>
      </c>
      <c r="M1033">
        <f t="shared" si="48"/>
        <v>0</v>
      </c>
      <c r="N1033">
        <f t="shared" si="49"/>
        <v>801.57</v>
      </c>
      <c r="O1033">
        <f t="shared" si="50"/>
        <v>-801.57</v>
      </c>
    </row>
    <row r="1034" spans="1:15" x14ac:dyDescent="0.2">
      <c r="A1034" t="s">
        <v>102</v>
      </c>
      <c r="B1034">
        <v>60564</v>
      </c>
      <c r="C1034" t="s">
        <v>13</v>
      </c>
      <c r="D1034" t="s">
        <v>18</v>
      </c>
      <c r="E1034" s="3">
        <v>44660</v>
      </c>
      <c r="F1034" t="s">
        <v>39</v>
      </c>
      <c r="G1034" s="2">
        <v>45075</v>
      </c>
      <c r="H1034" t="s">
        <v>103</v>
      </c>
      <c r="I1034" s="2">
        <v>44562</v>
      </c>
      <c r="J1034">
        <v>890.15</v>
      </c>
      <c r="K1034">
        <v>43</v>
      </c>
      <c r="L1034" t="s">
        <v>16</v>
      </c>
      <c r="M1034">
        <f t="shared" si="48"/>
        <v>890.15</v>
      </c>
      <c r="N1034">
        <f t="shared" si="49"/>
        <v>0</v>
      </c>
      <c r="O1034">
        <f t="shared" si="50"/>
        <v>890.15</v>
      </c>
    </row>
    <row r="1035" spans="1:15" x14ac:dyDescent="0.2">
      <c r="A1035" t="s">
        <v>102</v>
      </c>
      <c r="B1035">
        <v>60564</v>
      </c>
      <c r="C1035" t="s">
        <v>13</v>
      </c>
      <c r="D1035" t="s">
        <v>18</v>
      </c>
      <c r="E1035" s="3">
        <v>44660</v>
      </c>
      <c r="F1035" t="s">
        <v>39</v>
      </c>
      <c r="G1035" s="2">
        <v>45075</v>
      </c>
      <c r="H1035" t="s">
        <v>103</v>
      </c>
      <c r="I1035" s="2">
        <v>44593</v>
      </c>
      <c r="J1035">
        <v>786.11</v>
      </c>
      <c r="K1035">
        <v>26.4</v>
      </c>
      <c r="L1035" t="s">
        <v>19</v>
      </c>
      <c r="M1035">
        <f t="shared" si="48"/>
        <v>786.11</v>
      </c>
      <c r="N1035">
        <f t="shared" si="49"/>
        <v>0</v>
      </c>
      <c r="O1035">
        <f t="shared" si="50"/>
        <v>786.11</v>
      </c>
    </row>
    <row r="1036" spans="1:15" x14ac:dyDescent="0.2">
      <c r="A1036" t="s">
        <v>102</v>
      </c>
      <c r="B1036">
        <v>60564</v>
      </c>
      <c r="C1036" t="s">
        <v>13</v>
      </c>
      <c r="D1036" t="s">
        <v>18</v>
      </c>
      <c r="E1036" s="3">
        <v>44660</v>
      </c>
      <c r="F1036" t="s">
        <v>39</v>
      </c>
      <c r="G1036" s="2">
        <v>45075</v>
      </c>
      <c r="H1036" t="s">
        <v>103</v>
      </c>
      <c r="I1036" s="2">
        <v>44621</v>
      </c>
      <c r="J1036">
        <v>763.58</v>
      </c>
      <c r="K1036">
        <v>29.5</v>
      </c>
      <c r="L1036" t="s">
        <v>19</v>
      </c>
      <c r="M1036">
        <f t="shared" si="48"/>
        <v>763.58</v>
      </c>
      <c r="N1036">
        <f t="shared" si="49"/>
        <v>0</v>
      </c>
      <c r="O1036">
        <f t="shared" si="50"/>
        <v>763.58</v>
      </c>
    </row>
    <row r="1037" spans="1:15" x14ac:dyDescent="0.2">
      <c r="A1037" t="s">
        <v>102</v>
      </c>
      <c r="B1037">
        <v>60564</v>
      </c>
      <c r="C1037" t="s">
        <v>13</v>
      </c>
      <c r="D1037" t="s">
        <v>18</v>
      </c>
      <c r="E1037" s="3">
        <v>44660</v>
      </c>
      <c r="F1037" t="s">
        <v>39</v>
      </c>
      <c r="G1037" s="2">
        <v>45075</v>
      </c>
      <c r="H1037" t="s">
        <v>103</v>
      </c>
      <c r="I1037" s="2">
        <v>44652</v>
      </c>
      <c r="J1037">
        <v>875.29</v>
      </c>
      <c r="K1037">
        <v>50.8</v>
      </c>
      <c r="L1037" t="s">
        <v>16</v>
      </c>
      <c r="M1037">
        <f t="shared" si="48"/>
        <v>875.29</v>
      </c>
      <c r="N1037">
        <f t="shared" si="49"/>
        <v>0</v>
      </c>
      <c r="O1037">
        <f t="shared" si="50"/>
        <v>875.29</v>
      </c>
    </row>
    <row r="1038" spans="1:15" x14ac:dyDescent="0.2">
      <c r="A1038" t="s">
        <v>102</v>
      </c>
      <c r="B1038">
        <v>60564</v>
      </c>
      <c r="C1038" t="s">
        <v>13</v>
      </c>
      <c r="D1038" t="s">
        <v>18</v>
      </c>
      <c r="E1038" s="3">
        <v>44660</v>
      </c>
      <c r="F1038" t="s">
        <v>39</v>
      </c>
      <c r="G1038" s="2">
        <v>45075</v>
      </c>
      <c r="H1038" t="s">
        <v>103</v>
      </c>
      <c r="I1038" s="2">
        <v>44682</v>
      </c>
      <c r="J1038">
        <v>768.04</v>
      </c>
      <c r="K1038">
        <v>46.3</v>
      </c>
      <c r="L1038" t="s">
        <v>16</v>
      </c>
      <c r="M1038">
        <f t="shared" si="48"/>
        <v>768.04</v>
      </c>
      <c r="N1038">
        <f t="shared" si="49"/>
        <v>0</v>
      </c>
      <c r="O1038">
        <f t="shared" si="50"/>
        <v>768.04</v>
      </c>
    </row>
    <row r="1039" spans="1:15" x14ac:dyDescent="0.2">
      <c r="A1039" t="s">
        <v>102</v>
      </c>
      <c r="B1039">
        <v>60564</v>
      </c>
      <c r="C1039" t="s">
        <v>13</v>
      </c>
      <c r="D1039" t="s">
        <v>18</v>
      </c>
      <c r="E1039" s="3">
        <v>44660</v>
      </c>
      <c r="F1039" t="s">
        <v>39</v>
      </c>
      <c r="G1039" s="2">
        <v>45075</v>
      </c>
      <c r="H1039" t="s">
        <v>103</v>
      </c>
      <c r="I1039" s="2">
        <v>44713</v>
      </c>
      <c r="J1039">
        <v>894.82</v>
      </c>
      <c r="K1039">
        <v>61.1</v>
      </c>
      <c r="L1039" t="s">
        <v>16</v>
      </c>
      <c r="M1039">
        <f t="shared" si="48"/>
        <v>894.82</v>
      </c>
      <c r="N1039">
        <f t="shared" si="49"/>
        <v>0</v>
      </c>
      <c r="O1039">
        <f t="shared" si="50"/>
        <v>894.82</v>
      </c>
    </row>
    <row r="1040" spans="1:15" x14ac:dyDescent="0.2">
      <c r="A1040" t="s">
        <v>102</v>
      </c>
      <c r="B1040">
        <v>60564</v>
      </c>
      <c r="C1040" t="s">
        <v>13</v>
      </c>
      <c r="D1040" t="s">
        <v>18</v>
      </c>
      <c r="E1040" s="3">
        <v>44660</v>
      </c>
      <c r="F1040" t="s">
        <v>39</v>
      </c>
      <c r="G1040" s="2">
        <v>45075</v>
      </c>
      <c r="H1040" t="s">
        <v>103</v>
      </c>
      <c r="I1040" s="2">
        <v>44743</v>
      </c>
      <c r="J1040">
        <v>897.96</v>
      </c>
      <c r="K1040">
        <v>27.4</v>
      </c>
      <c r="L1040" t="s">
        <v>19</v>
      </c>
      <c r="M1040">
        <f t="shared" si="48"/>
        <v>897.96</v>
      </c>
      <c r="N1040">
        <f t="shared" si="49"/>
        <v>0</v>
      </c>
      <c r="O1040">
        <f t="shared" si="50"/>
        <v>897.96</v>
      </c>
    </row>
    <row r="1041" spans="1:15" x14ac:dyDescent="0.2">
      <c r="A1041" t="s">
        <v>102</v>
      </c>
      <c r="B1041">
        <v>60564</v>
      </c>
      <c r="C1041" t="s">
        <v>13</v>
      </c>
      <c r="D1041" t="s">
        <v>18</v>
      </c>
      <c r="E1041" s="3">
        <v>44660</v>
      </c>
      <c r="F1041" t="s">
        <v>39</v>
      </c>
      <c r="G1041" s="2">
        <v>45075</v>
      </c>
      <c r="H1041" t="s">
        <v>103</v>
      </c>
      <c r="I1041" s="2">
        <v>44774</v>
      </c>
      <c r="J1041">
        <v>666.52</v>
      </c>
      <c r="K1041">
        <v>54.2</v>
      </c>
      <c r="L1041" t="s">
        <v>16</v>
      </c>
      <c r="M1041">
        <f t="shared" si="48"/>
        <v>666.52</v>
      </c>
      <c r="N1041">
        <f t="shared" si="49"/>
        <v>0</v>
      </c>
      <c r="O1041">
        <f t="shared" si="50"/>
        <v>666.52</v>
      </c>
    </row>
    <row r="1042" spans="1:15" x14ac:dyDescent="0.2">
      <c r="A1042" t="s">
        <v>102</v>
      </c>
      <c r="B1042">
        <v>60564</v>
      </c>
      <c r="C1042" t="s">
        <v>13</v>
      </c>
      <c r="D1042" t="s">
        <v>18</v>
      </c>
      <c r="E1042" s="3">
        <v>44660</v>
      </c>
      <c r="F1042" t="s">
        <v>39</v>
      </c>
      <c r="G1042" s="2">
        <v>45075</v>
      </c>
      <c r="H1042" t="s">
        <v>103</v>
      </c>
      <c r="I1042" s="2">
        <v>44805</v>
      </c>
      <c r="J1042">
        <v>910.93</v>
      </c>
      <c r="K1042">
        <v>41.9</v>
      </c>
      <c r="L1042" t="s">
        <v>16</v>
      </c>
      <c r="M1042">
        <f t="shared" si="48"/>
        <v>910.93</v>
      </c>
      <c r="N1042">
        <f t="shared" si="49"/>
        <v>0</v>
      </c>
      <c r="O1042">
        <f t="shared" si="50"/>
        <v>910.93</v>
      </c>
    </row>
    <row r="1043" spans="1:15" x14ac:dyDescent="0.2">
      <c r="A1043" t="s">
        <v>102</v>
      </c>
      <c r="B1043">
        <v>60564</v>
      </c>
      <c r="C1043" t="s">
        <v>13</v>
      </c>
      <c r="D1043" t="s">
        <v>18</v>
      </c>
      <c r="E1043" s="3">
        <v>44660</v>
      </c>
      <c r="F1043" t="s">
        <v>39</v>
      </c>
      <c r="G1043" s="2">
        <v>45075</v>
      </c>
      <c r="H1043" t="s">
        <v>103</v>
      </c>
      <c r="I1043" s="2">
        <v>44835</v>
      </c>
      <c r="J1043">
        <v>653.79999999999995</v>
      </c>
      <c r="K1043">
        <v>74.099999999999994</v>
      </c>
      <c r="L1043" t="s">
        <v>20</v>
      </c>
      <c r="M1043">
        <f t="shared" si="48"/>
        <v>653.79999999999995</v>
      </c>
      <c r="N1043">
        <f t="shared" si="49"/>
        <v>0</v>
      </c>
      <c r="O1043">
        <f t="shared" si="50"/>
        <v>653.79999999999995</v>
      </c>
    </row>
    <row r="1044" spans="1:15" x14ac:dyDescent="0.2">
      <c r="A1044" t="s">
        <v>102</v>
      </c>
      <c r="B1044">
        <v>60564</v>
      </c>
      <c r="C1044" t="s">
        <v>13</v>
      </c>
      <c r="D1044" t="s">
        <v>18</v>
      </c>
      <c r="E1044" s="3">
        <v>44660</v>
      </c>
      <c r="F1044" t="s">
        <v>39</v>
      </c>
      <c r="G1044" s="2">
        <v>45075</v>
      </c>
      <c r="H1044" t="s">
        <v>103</v>
      </c>
      <c r="I1044" s="2">
        <v>44866</v>
      </c>
      <c r="J1044">
        <v>917.16</v>
      </c>
      <c r="K1044">
        <v>42.6</v>
      </c>
      <c r="L1044" t="s">
        <v>16</v>
      </c>
      <c r="M1044">
        <f t="shared" si="48"/>
        <v>917.16</v>
      </c>
      <c r="N1044">
        <f t="shared" si="49"/>
        <v>0</v>
      </c>
      <c r="O1044">
        <f t="shared" si="50"/>
        <v>917.16</v>
      </c>
    </row>
    <row r="1045" spans="1:15" x14ac:dyDescent="0.2">
      <c r="A1045" t="s">
        <v>102</v>
      </c>
      <c r="B1045">
        <v>60564</v>
      </c>
      <c r="C1045" t="s">
        <v>13</v>
      </c>
      <c r="D1045" t="s">
        <v>18</v>
      </c>
      <c r="E1045" s="3">
        <v>44660</v>
      </c>
      <c r="F1045" t="s">
        <v>39</v>
      </c>
      <c r="G1045" s="2">
        <v>45075</v>
      </c>
      <c r="H1045" t="s">
        <v>103</v>
      </c>
      <c r="I1045" s="2">
        <v>44896</v>
      </c>
      <c r="J1045">
        <v>1002.84</v>
      </c>
      <c r="K1045">
        <v>52.3</v>
      </c>
      <c r="L1045" t="s">
        <v>16</v>
      </c>
      <c r="M1045">
        <f t="shared" si="48"/>
        <v>1002.84</v>
      </c>
      <c r="N1045">
        <f t="shared" si="49"/>
        <v>0</v>
      </c>
      <c r="O1045">
        <f t="shared" si="50"/>
        <v>1002.84</v>
      </c>
    </row>
    <row r="1046" spans="1:15" x14ac:dyDescent="0.2">
      <c r="A1046" t="s">
        <v>102</v>
      </c>
      <c r="B1046">
        <v>60564</v>
      </c>
      <c r="C1046" t="s">
        <v>13</v>
      </c>
      <c r="D1046" t="s">
        <v>18</v>
      </c>
      <c r="E1046" s="3">
        <v>44660</v>
      </c>
      <c r="F1046" t="s">
        <v>39</v>
      </c>
      <c r="G1046" s="2">
        <v>45075</v>
      </c>
      <c r="H1046" t="s">
        <v>103</v>
      </c>
      <c r="I1046" s="2">
        <v>44927</v>
      </c>
      <c r="J1046">
        <v>787.48</v>
      </c>
      <c r="K1046">
        <v>76.2</v>
      </c>
      <c r="L1046" t="s">
        <v>20</v>
      </c>
      <c r="M1046">
        <f t="shared" si="48"/>
        <v>787.48</v>
      </c>
      <c r="N1046">
        <f t="shared" si="49"/>
        <v>0</v>
      </c>
      <c r="O1046">
        <f t="shared" si="50"/>
        <v>787.48</v>
      </c>
    </row>
    <row r="1047" spans="1:15" x14ac:dyDescent="0.2">
      <c r="A1047" t="s">
        <v>102</v>
      </c>
      <c r="B1047">
        <v>60564</v>
      </c>
      <c r="C1047" t="s">
        <v>13</v>
      </c>
      <c r="D1047" t="s">
        <v>18</v>
      </c>
      <c r="E1047" s="3">
        <v>44660</v>
      </c>
      <c r="F1047" t="s">
        <v>39</v>
      </c>
      <c r="G1047" s="2">
        <v>45075</v>
      </c>
      <c r="H1047" t="s">
        <v>103</v>
      </c>
      <c r="I1047" s="2">
        <v>44958</v>
      </c>
      <c r="J1047">
        <v>484.3</v>
      </c>
      <c r="K1047">
        <v>73.7</v>
      </c>
      <c r="L1047" t="s">
        <v>20</v>
      </c>
      <c r="M1047">
        <f t="shared" si="48"/>
        <v>484.3</v>
      </c>
      <c r="N1047">
        <f t="shared" si="49"/>
        <v>0</v>
      </c>
      <c r="O1047">
        <f t="shared" si="50"/>
        <v>484.3</v>
      </c>
    </row>
    <row r="1048" spans="1:15" x14ac:dyDescent="0.2">
      <c r="A1048" t="s">
        <v>102</v>
      </c>
      <c r="B1048">
        <v>60564</v>
      </c>
      <c r="C1048" t="s">
        <v>13</v>
      </c>
      <c r="D1048" t="s">
        <v>18</v>
      </c>
      <c r="E1048" s="3">
        <v>44660</v>
      </c>
      <c r="F1048" t="s">
        <v>39</v>
      </c>
      <c r="G1048" s="2">
        <v>45075</v>
      </c>
      <c r="H1048" t="s">
        <v>103</v>
      </c>
      <c r="I1048" s="2">
        <v>44986</v>
      </c>
      <c r="J1048">
        <v>806.36</v>
      </c>
      <c r="K1048">
        <v>52.8</v>
      </c>
      <c r="L1048" t="s">
        <v>16</v>
      </c>
      <c r="M1048">
        <f t="shared" si="48"/>
        <v>806.36</v>
      </c>
      <c r="N1048">
        <f t="shared" si="49"/>
        <v>0</v>
      </c>
      <c r="O1048">
        <f t="shared" si="50"/>
        <v>806.36</v>
      </c>
    </row>
    <row r="1049" spans="1:15" x14ac:dyDescent="0.2">
      <c r="A1049" t="s">
        <v>102</v>
      </c>
      <c r="B1049">
        <v>60564</v>
      </c>
      <c r="C1049" t="s">
        <v>13</v>
      </c>
      <c r="D1049" t="s">
        <v>18</v>
      </c>
      <c r="E1049" s="3">
        <v>44660</v>
      </c>
      <c r="F1049" t="s">
        <v>39</v>
      </c>
      <c r="G1049" s="2">
        <v>45075</v>
      </c>
      <c r="H1049" t="s">
        <v>103</v>
      </c>
      <c r="I1049" s="2">
        <v>45017</v>
      </c>
      <c r="J1049">
        <v>924.61</v>
      </c>
      <c r="K1049">
        <v>103.1</v>
      </c>
      <c r="L1049" t="s">
        <v>20</v>
      </c>
      <c r="M1049">
        <f t="shared" si="48"/>
        <v>924.61</v>
      </c>
      <c r="N1049">
        <f t="shared" si="49"/>
        <v>0</v>
      </c>
      <c r="O1049">
        <f t="shared" si="50"/>
        <v>924.61</v>
      </c>
    </row>
    <row r="1050" spans="1:15" x14ac:dyDescent="0.2">
      <c r="A1050" t="s">
        <v>102</v>
      </c>
      <c r="B1050">
        <v>60564</v>
      </c>
      <c r="C1050" t="s">
        <v>13</v>
      </c>
      <c r="D1050" t="s">
        <v>18</v>
      </c>
      <c r="E1050" s="3">
        <v>44660</v>
      </c>
      <c r="F1050" t="s">
        <v>39</v>
      </c>
      <c r="G1050" s="2">
        <v>45075</v>
      </c>
      <c r="H1050" t="s">
        <v>103</v>
      </c>
      <c r="I1050" s="2">
        <v>45047</v>
      </c>
      <c r="J1050">
        <v>669.7</v>
      </c>
      <c r="K1050">
        <v>40.6</v>
      </c>
      <c r="L1050" t="s">
        <v>16</v>
      </c>
      <c r="M1050">
        <f t="shared" si="48"/>
        <v>669.7</v>
      </c>
      <c r="N1050">
        <f t="shared" si="49"/>
        <v>0</v>
      </c>
      <c r="O1050">
        <f t="shared" si="50"/>
        <v>669.7</v>
      </c>
    </row>
    <row r="1051" spans="1:15" x14ac:dyDescent="0.2">
      <c r="A1051" t="s">
        <v>102</v>
      </c>
      <c r="B1051">
        <v>60564</v>
      </c>
      <c r="C1051" t="s">
        <v>13</v>
      </c>
      <c r="D1051" t="s">
        <v>18</v>
      </c>
      <c r="E1051" s="3">
        <v>44660</v>
      </c>
      <c r="F1051" t="s">
        <v>39</v>
      </c>
      <c r="G1051" s="2">
        <v>45075</v>
      </c>
      <c r="H1051" t="s">
        <v>103</v>
      </c>
      <c r="I1051" s="2">
        <v>45078</v>
      </c>
      <c r="J1051">
        <v>696.53</v>
      </c>
      <c r="K1051">
        <v>76</v>
      </c>
      <c r="L1051" t="s">
        <v>20</v>
      </c>
      <c r="M1051">
        <f t="shared" si="48"/>
        <v>0</v>
      </c>
      <c r="N1051">
        <f t="shared" si="49"/>
        <v>696.53</v>
      </c>
      <c r="O1051">
        <f t="shared" si="50"/>
        <v>-696.53</v>
      </c>
    </row>
    <row r="1052" spans="1:15" x14ac:dyDescent="0.2">
      <c r="A1052" t="s">
        <v>102</v>
      </c>
      <c r="B1052">
        <v>60564</v>
      </c>
      <c r="C1052" t="s">
        <v>13</v>
      </c>
      <c r="D1052" t="s">
        <v>18</v>
      </c>
      <c r="E1052" s="3">
        <v>44660</v>
      </c>
      <c r="F1052" t="s">
        <v>39</v>
      </c>
      <c r="G1052" s="2">
        <v>45075</v>
      </c>
      <c r="H1052" t="s">
        <v>103</v>
      </c>
      <c r="I1052" s="2">
        <v>45108</v>
      </c>
      <c r="J1052">
        <v>581.15</v>
      </c>
      <c r="K1052">
        <v>38.9</v>
      </c>
      <c r="L1052" t="s">
        <v>19</v>
      </c>
      <c r="M1052">
        <f t="shared" si="48"/>
        <v>0</v>
      </c>
      <c r="N1052">
        <f t="shared" si="49"/>
        <v>581.15</v>
      </c>
      <c r="O1052">
        <f t="shared" si="50"/>
        <v>-581.15</v>
      </c>
    </row>
    <row r="1053" spans="1:15" x14ac:dyDescent="0.2">
      <c r="A1053" t="s">
        <v>102</v>
      </c>
      <c r="B1053">
        <v>60564</v>
      </c>
      <c r="C1053" t="s">
        <v>13</v>
      </c>
      <c r="D1053" t="s">
        <v>18</v>
      </c>
      <c r="E1053" s="3">
        <v>44660</v>
      </c>
      <c r="F1053" t="s">
        <v>39</v>
      </c>
      <c r="G1053" s="2">
        <v>45075</v>
      </c>
      <c r="H1053" t="s">
        <v>103</v>
      </c>
      <c r="I1053" s="2">
        <v>45139</v>
      </c>
      <c r="J1053">
        <v>731.21</v>
      </c>
      <c r="K1053">
        <v>80</v>
      </c>
      <c r="L1053" t="s">
        <v>20</v>
      </c>
      <c r="M1053">
        <f t="shared" si="48"/>
        <v>0</v>
      </c>
      <c r="N1053">
        <f t="shared" si="49"/>
        <v>731.21</v>
      </c>
      <c r="O1053">
        <f t="shared" si="50"/>
        <v>-731.21</v>
      </c>
    </row>
    <row r="1054" spans="1:15" x14ac:dyDescent="0.2">
      <c r="A1054" t="s">
        <v>102</v>
      </c>
      <c r="B1054">
        <v>60564</v>
      </c>
      <c r="C1054" t="s">
        <v>13</v>
      </c>
      <c r="D1054" t="s">
        <v>18</v>
      </c>
      <c r="E1054" s="3">
        <v>44660</v>
      </c>
      <c r="F1054" t="s">
        <v>39</v>
      </c>
      <c r="G1054" s="2">
        <v>45075</v>
      </c>
      <c r="H1054" t="s">
        <v>103</v>
      </c>
      <c r="I1054" s="2">
        <v>45170</v>
      </c>
      <c r="J1054">
        <v>826.92</v>
      </c>
      <c r="K1054">
        <v>84.9</v>
      </c>
      <c r="L1054" t="s">
        <v>20</v>
      </c>
      <c r="M1054">
        <f t="shared" si="48"/>
        <v>0</v>
      </c>
      <c r="N1054">
        <f t="shared" si="49"/>
        <v>826.92</v>
      </c>
      <c r="O1054">
        <f t="shared" si="50"/>
        <v>-826.92</v>
      </c>
    </row>
    <row r="1055" spans="1:15" x14ac:dyDescent="0.2">
      <c r="A1055" t="s">
        <v>102</v>
      </c>
      <c r="B1055">
        <v>60564</v>
      </c>
      <c r="C1055" t="s">
        <v>13</v>
      </c>
      <c r="D1055" t="s">
        <v>18</v>
      </c>
      <c r="E1055" s="3">
        <v>44660</v>
      </c>
      <c r="F1055" t="s">
        <v>39</v>
      </c>
      <c r="G1055" s="2">
        <v>45075</v>
      </c>
      <c r="H1055" t="s">
        <v>103</v>
      </c>
      <c r="I1055" s="2">
        <v>45200</v>
      </c>
      <c r="J1055">
        <v>769.77</v>
      </c>
      <c r="K1055">
        <v>80.8</v>
      </c>
      <c r="L1055" t="s">
        <v>20</v>
      </c>
      <c r="M1055">
        <f t="shared" si="48"/>
        <v>0</v>
      </c>
      <c r="N1055">
        <f t="shared" si="49"/>
        <v>769.77</v>
      </c>
      <c r="O1055">
        <f t="shared" si="50"/>
        <v>-769.77</v>
      </c>
    </row>
    <row r="1056" spans="1:15" x14ac:dyDescent="0.2">
      <c r="A1056" t="s">
        <v>102</v>
      </c>
      <c r="B1056">
        <v>60564</v>
      </c>
      <c r="C1056" t="s">
        <v>13</v>
      </c>
      <c r="D1056" t="s">
        <v>18</v>
      </c>
      <c r="E1056" s="3">
        <v>44660</v>
      </c>
      <c r="F1056" t="s">
        <v>39</v>
      </c>
      <c r="G1056" s="2">
        <v>45075</v>
      </c>
      <c r="H1056" t="s">
        <v>103</v>
      </c>
      <c r="I1056" s="2">
        <v>45231</v>
      </c>
      <c r="J1056">
        <v>1014.2</v>
      </c>
      <c r="K1056">
        <v>46.5</v>
      </c>
      <c r="L1056" t="s">
        <v>16</v>
      </c>
      <c r="M1056">
        <f t="shared" si="48"/>
        <v>0</v>
      </c>
      <c r="N1056">
        <f t="shared" si="49"/>
        <v>1014.2</v>
      </c>
      <c r="O1056">
        <f t="shared" si="50"/>
        <v>-1014.2</v>
      </c>
    </row>
    <row r="1057" spans="1:15" x14ac:dyDescent="0.2">
      <c r="A1057" t="s">
        <v>102</v>
      </c>
      <c r="B1057">
        <v>60564</v>
      </c>
      <c r="C1057" t="s">
        <v>13</v>
      </c>
      <c r="D1057" t="s">
        <v>18</v>
      </c>
      <c r="E1057" s="3">
        <v>44660</v>
      </c>
      <c r="F1057" t="s">
        <v>39</v>
      </c>
      <c r="G1057" s="2">
        <v>45075</v>
      </c>
      <c r="H1057" t="s">
        <v>103</v>
      </c>
      <c r="I1057" s="2">
        <v>45261</v>
      </c>
      <c r="J1057">
        <v>703.3</v>
      </c>
      <c r="K1057">
        <v>29.2</v>
      </c>
      <c r="L1057" t="s">
        <v>19</v>
      </c>
      <c r="M1057">
        <f t="shared" si="48"/>
        <v>0</v>
      </c>
      <c r="N1057">
        <f t="shared" si="49"/>
        <v>703.3</v>
      </c>
      <c r="O1057">
        <f t="shared" si="50"/>
        <v>-703.3</v>
      </c>
    </row>
    <row r="1058" spans="1:15" x14ac:dyDescent="0.2">
      <c r="A1058" t="s">
        <v>104</v>
      </c>
      <c r="B1058">
        <v>60563</v>
      </c>
      <c r="C1058" t="s">
        <v>13</v>
      </c>
      <c r="D1058" t="s">
        <v>18</v>
      </c>
      <c r="E1058" s="3">
        <v>44641</v>
      </c>
      <c r="F1058" t="s">
        <v>39</v>
      </c>
      <c r="G1058" s="2">
        <v>44777</v>
      </c>
      <c r="H1058" t="s">
        <v>105</v>
      </c>
      <c r="I1058" s="2">
        <v>44562</v>
      </c>
      <c r="J1058">
        <v>714.27</v>
      </c>
      <c r="K1058">
        <v>43</v>
      </c>
      <c r="L1058" t="s">
        <v>16</v>
      </c>
      <c r="M1058">
        <f t="shared" si="48"/>
        <v>714.27</v>
      </c>
      <c r="N1058">
        <f t="shared" si="49"/>
        <v>0</v>
      </c>
      <c r="O1058">
        <f t="shared" si="50"/>
        <v>714.27</v>
      </c>
    </row>
    <row r="1059" spans="1:15" x14ac:dyDescent="0.2">
      <c r="A1059" t="s">
        <v>104</v>
      </c>
      <c r="B1059">
        <v>60563</v>
      </c>
      <c r="C1059" t="s">
        <v>13</v>
      </c>
      <c r="D1059" t="s">
        <v>18</v>
      </c>
      <c r="E1059" s="3">
        <v>44641</v>
      </c>
      <c r="F1059" t="s">
        <v>39</v>
      </c>
      <c r="G1059" s="2">
        <v>44777</v>
      </c>
      <c r="H1059" t="s">
        <v>105</v>
      </c>
      <c r="I1059" s="2">
        <v>44593</v>
      </c>
      <c r="J1059">
        <v>694.17</v>
      </c>
      <c r="K1059">
        <v>26.4</v>
      </c>
      <c r="L1059" t="s">
        <v>19</v>
      </c>
      <c r="M1059">
        <f t="shared" si="48"/>
        <v>694.17</v>
      </c>
      <c r="N1059">
        <f t="shared" si="49"/>
        <v>0</v>
      </c>
      <c r="O1059">
        <f t="shared" si="50"/>
        <v>694.17</v>
      </c>
    </row>
    <row r="1060" spans="1:15" x14ac:dyDescent="0.2">
      <c r="A1060" t="s">
        <v>104</v>
      </c>
      <c r="B1060">
        <v>60563</v>
      </c>
      <c r="C1060" t="s">
        <v>13</v>
      </c>
      <c r="D1060" t="s">
        <v>18</v>
      </c>
      <c r="E1060" s="3">
        <v>44641</v>
      </c>
      <c r="F1060" t="s">
        <v>39</v>
      </c>
      <c r="G1060" s="2">
        <v>44777</v>
      </c>
      <c r="H1060" t="s">
        <v>105</v>
      </c>
      <c r="I1060" s="2">
        <v>44621</v>
      </c>
      <c r="J1060">
        <v>869.27</v>
      </c>
      <c r="K1060">
        <v>29.5</v>
      </c>
      <c r="L1060" t="s">
        <v>19</v>
      </c>
      <c r="M1060">
        <f t="shared" si="48"/>
        <v>869.27</v>
      </c>
      <c r="N1060">
        <f t="shared" si="49"/>
        <v>0</v>
      </c>
      <c r="O1060">
        <f t="shared" si="50"/>
        <v>869.27</v>
      </c>
    </row>
    <row r="1061" spans="1:15" x14ac:dyDescent="0.2">
      <c r="A1061" t="s">
        <v>104</v>
      </c>
      <c r="B1061">
        <v>60563</v>
      </c>
      <c r="C1061" t="s">
        <v>13</v>
      </c>
      <c r="D1061" t="s">
        <v>18</v>
      </c>
      <c r="E1061" s="3">
        <v>44641</v>
      </c>
      <c r="F1061" t="s">
        <v>39</v>
      </c>
      <c r="G1061" s="2">
        <v>44777</v>
      </c>
      <c r="H1061" t="s">
        <v>105</v>
      </c>
      <c r="I1061" s="2">
        <v>44652</v>
      </c>
      <c r="J1061">
        <v>845.75</v>
      </c>
      <c r="K1061">
        <v>50.8</v>
      </c>
      <c r="L1061" t="s">
        <v>16</v>
      </c>
      <c r="M1061">
        <f t="shared" si="48"/>
        <v>845.75</v>
      </c>
      <c r="N1061">
        <f t="shared" si="49"/>
        <v>0</v>
      </c>
      <c r="O1061">
        <f t="shared" si="50"/>
        <v>845.75</v>
      </c>
    </row>
    <row r="1062" spans="1:15" x14ac:dyDescent="0.2">
      <c r="A1062" t="s">
        <v>104</v>
      </c>
      <c r="B1062">
        <v>60563</v>
      </c>
      <c r="C1062" t="s">
        <v>13</v>
      </c>
      <c r="D1062" t="s">
        <v>18</v>
      </c>
      <c r="E1062" s="3">
        <v>44641</v>
      </c>
      <c r="F1062" t="s">
        <v>39</v>
      </c>
      <c r="G1062" s="2">
        <v>44777</v>
      </c>
      <c r="H1062" t="s">
        <v>105</v>
      </c>
      <c r="I1062" s="2">
        <v>44682</v>
      </c>
      <c r="J1062">
        <v>902.88</v>
      </c>
      <c r="K1062">
        <v>46.3</v>
      </c>
      <c r="L1062" t="s">
        <v>16</v>
      </c>
      <c r="M1062">
        <f t="shared" si="48"/>
        <v>902.88</v>
      </c>
      <c r="N1062">
        <f t="shared" si="49"/>
        <v>0</v>
      </c>
      <c r="O1062">
        <f t="shared" si="50"/>
        <v>902.88</v>
      </c>
    </row>
    <row r="1063" spans="1:15" x14ac:dyDescent="0.2">
      <c r="A1063" t="s">
        <v>104</v>
      </c>
      <c r="B1063">
        <v>60563</v>
      </c>
      <c r="C1063" t="s">
        <v>13</v>
      </c>
      <c r="D1063" t="s">
        <v>18</v>
      </c>
      <c r="E1063" s="3">
        <v>44641</v>
      </c>
      <c r="F1063" t="s">
        <v>39</v>
      </c>
      <c r="G1063" s="2">
        <v>44777</v>
      </c>
      <c r="H1063" t="s">
        <v>105</v>
      </c>
      <c r="I1063" s="2">
        <v>44713</v>
      </c>
      <c r="J1063">
        <v>856.98</v>
      </c>
      <c r="K1063">
        <v>61.1</v>
      </c>
      <c r="L1063" t="s">
        <v>16</v>
      </c>
      <c r="M1063">
        <f t="shared" si="48"/>
        <v>856.98</v>
      </c>
      <c r="N1063">
        <f t="shared" si="49"/>
        <v>0</v>
      </c>
      <c r="O1063">
        <f t="shared" si="50"/>
        <v>856.98</v>
      </c>
    </row>
    <row r="1064" spans="1:15" x14ac:dyDescent="0.2">
      <c r="A1064" t="s">
        <v>104</v>
      </c>
      <c r="B1064">
        <v>60563</v>
      </c>
      <c r="C1064" t="s">
        <v>13</v>
      </c>
      <c r="D1064" t="s">
        <v>18</v>
      </c>
      <c r="E1064" s="3">
        <v>44641</v>
      </c>
      <c r="F1064" t="s">
        <v>39</v>
      </c>
      <c r="G1064" s="2">
        <v>44777</v>
      </c>
      <c r="H1064" t="s">
        <v>105</v>
      </c>
      <c r="I1064" s="2">
        <v>44743</v>
      </c>
      <c r="J1064">
        <v>743.22</v>
      </c>
      <c r="K1064">
        <v>27.4</v>
      </c>
      <c r="L1064" t="s">
        <v>19</v>
      </c>
      <c r="M1064">
        <f t="shared" si="48"/>
        <v>743.22</v>
      </c>
      <c r="N1064">
        <f t="shared" si="49"/>
        <v>0</v>
      </c>
      <c r="O1064">
        <f t="shared" si="50"/>
        <v>743.22</v>
      </c>
    </row>
    <row r="1065" spans="1:15" x14ac:dyDescent="0.2">
      <c r="A1065" t="s">
        <v>104</v>
      </c>
      <c r="B1065">
        <v>60563</v>
      </c>
      <c r="C1065" t="s">
        <v>13</v>
      </c>
      <c r="D1065" t="s">
        <v>18</v>
      </c>
      <c r="E1065" s="3">
        <v>44641</v>
      </c>
      <c r="F1065" t="s">
        <v>39</v>
      </c>
      <c r="G1065" s="2">
        <v>44777</v>
      </c>
      <c r="H1065" t="s">
        <v>105</v>
      </c>
      <c r="I1065" s="2">
        <v>44774</v>
      </c>
      <c r="J1065">
        <v>843.22</v>
      </c>
      <c r="K1065">
        <v>54.2</v>
      </c>
      <c r="L1065" t="s">
        <v>16</v>
      </c>
      <c r="M1065">
        <f t="shared" si="48"/>
        <v>843.22</v>
      </c>
      <c r="N1065">
        <f t="shared" si="49"/>
        <v>0</v>
      </c>
      <c r="O1065">
        <f t="shared" si="50"/>
        <v>843.22</v>
      </c>
    </row>
    <row r="1066" spans="1:15" x14ac:dyDescent="0.2">
      <c r="A1066" t="s">
        <v>104</v>
      </c>
      <c r="B1066">
        <v>60563</v>
      </c>
      <c r="C1066" t="s">
        <v>13</v>
      </c>
      <c r="D1066" t="s">
        <v>18</v>
      </c>
      <c r="E1066" s="3">
        <v>44641</v>
      </c>
      <c r="F1066" t="s">
        <v>39</v>
      </c>
      <c r="G1066" s="2">
        <v>44777</v>
      </c>
      <c r="H1066" t="s">
        <v>105</v>
      </c>
      <c r="I1066" s="2">
        <v>44805</v>
      </c>
      <c r="J1066">
        <v>685.79</v>
      </c>
      <c r="K1066">
        <v>41.9</v>
      </c>
      <c r="L1066" t="s">
        <v>16</v>
      </c>
      <c r="M1066">
        <f t="shared" si="48"/>
        <v>0</v>
      </c>
      <c r="N1066">
        <f t="shared" si="49"/>
        <v>685.79</v>
      </c>
      <c r="O1066">
        <f t="shared" si="50"/>
        <v>-685.79</v>
      </c>
    </row>
    <row r="1067" spans="1:15" x14ac:dyDescent="0.2">
      <c r="A1067" t="s">
        <v>104</v>
      </c>
      <c r="B1067">
        <v>60563</v>
      </c>
      <c r="C1067" t="s">
        <v>13</v>
      </c>
      <c r="D1067" t="s">
        <v>18</v>
      </c>
      <c r="E1067" s="3">
        <v>44641</v>
      </c>
      <c r="F1067" t="s">
        <v>39</v>
      </c>
      <c r="G1067" s="2">
        <v>44777</v>
      </c>
      <c r="H1067" t="s">
        <v>105</v>
      </c>
      <c r="I1067" s="2">
        <v>44835</v>
      </c>
      <c r="J1067">
        <v>774.97</v>
      </c>
      <c r="K1067">
        <v>74.099999999999994</v>
      </c>
      <c r="L1067" t="s">
        <v>20</v>
      </c>
      <c r="M1067">
        <f t="shared" si="48"/>
        <v>0</v>
      </c>
      <c r="N1067">
        <f t="shared" si="49"/>
        <v>774.97</v>
      </c>
      <c r="O1067">
        <f t="shared" si="50"/>
        <v>-774.97</v>
      </c>
    </row>
    <row r="1068" spans="1:15" x14ac:dyDescent="0.2">
      <c r="A1068" t="s">
        <v>104</v>
      </c>
      <c r="B1068">
        <v>60563</v>
      </c>
      <c r="C1068" t="s">
        <v>13</v>
      </c>
      <c r="D1068" t="s">
        <v>18</v>
      </c>
      <c r="E1068" s="3">
        <v>44641</v>
      </c>
      <c r="F1068" t="s">
        <v>39</v>
      </c>
      <c r="G1068" s="2">
        <v>44777</v>
      </c>
      <c r="H1068" t="s">
        <v>105</v>
      </c>
      <c r="I1068" s="2">
        <v>44866</v>
      </c>
      <c r="J1068">
        <v>850.28</v>
      </c>
      <c r="K1068">
        <v>42.6</v>
      </c>
      <c r="L1068" t="s">
        <v>16</v>
      </c>
      <c r="M1068">
        <f t="shared" si="48"/>
        <v>0</v>
      </c>
      <c r="N1068">
        <f t="shared" si="49"/>
        <v>850.28</v>
      </c>
      <c r="O1068">
        <f t="shared" si="50"/>
        <v>-850.28</v>
      </c>
    </row>
    <row r="1069" spans="1:15" x14ac:dyDescent="0.2">
      <c r="A1069" t="s">
        <v>104</v>
      </c>
      <c r="B1069">
        <v>60563</v>
      </c>
      <c r="C1069" t="s">
        <v>13</v>
      </c>
      <c r="D1069" t="s">
        <v>18</v>
      </c>
      <c r="E1069" s="3">
        <v>44641</v>
      </c>
      <c r="F1069" t="s">
        <v>39</v>
      </c>
      <c r="G1069" s="2">
        <v>44777</v>
      </c>
      <c r="H1069" t="s">
        <v>105</v>
      </c>
      <c r="I1069" s="2">
        <v>44896</v>
      </c>
      <c r="J1069">
        <v>763.95</v>
      </c>
      <c r="K1069">
        <v>52.3</v>
      </c>
      <c r="L1069" t="s">
        <v>16</v>
      </c>
      <c r="M1069">
        <f t="shared" si="48"/>
        <v>0</v>
      </c>
      <c r="N1069">
        <f t="shared" si="49"/>
        <v>763.95</v>
      </c>
      <c r="O1069">
        <f t="shared" si="50"/>
        <v>-763.95</v>
      </c>
    </row>
    <row r="1070" spans="1:15" x14ac:dyDescent="0.2">
      <c r="A1070" t="s">
        <v>104</v>
      </c>
      <c r="B1070">
        <v>60563</v>
      </c>
      <c r="C1070" t="s">
        <v>13</v>
      </c>
      <c r="D1070" t="s">
        <v>18</v>
      </c>
      <c r="E1070" s="3">
        <v>44641</v>
      </c>
      <c r="F1070" t="s">
        <v>39</v>
      </c>
      <c r="G1070" s="2">
        <v>44777</v>
      </c>
      <c r="H1070" t="s">
        <v>105</v>
      </c>
      <c r="I1070" s="2">
        <v>44927</v>
      </c>
      <c r="J1070">
        <v>946.81</v>
      </c>
      <c r="K1070">
        <v>76.2</v>
      </c>
      <c r="L1070" t="s">
        <v>20</v>
      </c>
      <c r="M1070">
        <f t="shared" si="48"/>
        <v>0</v>
      </c>
      <c r="N1070">
        <f t="shared" si="49"/>
        <v>946.81</v>
      </c>
      <c r="O1070">
        <f t="shared" si="50"/>
        <v>-946.81</v>
      </c>
    </row>
    <row r="1071" spans="1:15" x14ac:dyDescent="0.2">
      <c r="A1071" t="s">
        <v>104</v>
      </c>
      <c r="B1071">
        <v>60563</v>
      </c>
      <c r="C1071" t="s">
        <v>13</v>
      </c>
      <c r="D1071" t="s">
        <v>18</v>
      </c>
      <c r="E1071" s="3">
        <v>44641</v>
      </c>
      <c r="F1071" t="s">
        <v>39</v>
      </c>
      <c r="G1071" s="2">
        <v>44777</v>
      </c>
      <c r="H1071" t="s">
        <v>105</v>
      </c>
      <c r="I1071" s="2">
        <v>44958</v>
      </c>
      <c r="J1071">
        <v>510.78</v>
      </c>
      <c r="K1071">
        <v>73.7</v>
      </c>
      <c r="L1071" t="s">
        <v>20</v>
      </c>
      <c r="M1071">
        <f t="shared" si="48"/>
        <v>0</v>
      </c>
      <c r="N1071">
        <f t="shared" si="49"/>
        <v>510.78</v>
      </c>
      <c r="O1071">
        <f t="shared" si="50"/>
        <v>-510.78</v>
      </c>
    </row>
    <row r="1072" spans="1:15" x14ac:dyDescent="0.2">
      <c r="A1072" t="s">
        <v>104</v>
      </c>
      <c r="B1072">
        <v>60563</v>
      </c>
      <c r="C1072" t="s">
        <v>13</v>
      </c>
      <c r="D1072" t="s">
        <v>18</v>
      </c>
      <c r="E1072" s="3">
        <v>44641</v>
      </c>
      <c r="F1072" t="s">
        <v>39</v>
      </c>
      <c r="G1072" s="2">
        <v>44777</v>
      </c>
      <c r="H1072" t="s">
        <v>105</v>
      </c>
      <c r="I1072" s="2">
        <v>44986</v>
      </c>
      <c r="J1072">
        <v>645.25</v>
      </c>
      <c r="K1072">
        <v>52.8</v>
      </c>
      <c r="L1072" t="s">
        <v>16</v>
      </c>
      <c r="M1072">
        <f t="shared" si="48"/>
        <v>0</v>
      </c>
      <c r="N1072">
        <f t="shared" si="49"/>
        <v>645.25</v>
      </c>
      <c r="O1072">
        <f t="shared" si="50"/>
        <v>-645.25</v>
      </c>
    </row>
    <row r="1073" spans="1:15" x14ac:dyDescent="0.2">
      <c r="A1073" t="s">
        <v>104</v>
      </c>
      <c r="B1073">
        <v>60563</v>
      </c>
      <c r="C1073" t="s">
        <v>13</v>
      </c>
      <c r="D1073" t="s">
        <v>18</v>
      </c>
      <c r="E1073" s="3">
        <v>44641</v>
      </c>
      <c r="F1073" t="s">
        <v>39</v>
      </c>
      <c r="G1073" s="2">
        <v>44777</v>
      </c>
      <c r="H1073" t="s">
        <v>105</v>
      </c>
      <c r="I1073" s="2">
        <v>45017</v>
      </c>
      <c r="J1073">
        <v>606.22</v>
      </c>
      <c r="K1073">
        <v>103.1</v>
      </c>
      <c r="L1073" t="s">
        <v>20</v>
      </c>
      <c r="M1073">
        <f t="shared" si="48"/>
        <v>0</v>
      </c>
      <c r="N1073">
        <f t="shared" si="49"/>
        <v>606.22</v>
      </c>
      <c r="O1073">
        <f t="shared" si="50"/>
        <v>-606.22</v>
      </c>
    </row>
    <row r="1074" spans="1:15" x14ac:dyDescent="0.2">
      <c r="A1074" t="s">
        <v>104</v>
      </c>
      <c r="B1074">
        <v>60563</v>
      </c>
      <c r="C1074" t="s">
        <v>13</v>
      </c>
      <c r="D1074" t="s">
        <v>18</v>
      </c>
      <c r="E1074" s="3">
        <v>44641</v>
      </c>
      <c r="F1074" t="s">
        <v>39</v>
      </c>
      <c r="G1074" s="2">
        <v>44777</v>
      </c>
      <c r="H1074" t="s">
        <v>105</v>
      </c>
      <c r="I1074" s="2">
        <v>45047</v>
      </c>
      <c r="J1074">
        <v>629.97</v>
      </c>
      <c r="K1074">
        <v>40.6</v>
      </c>
      <c r="L1074" t="s">
        <v>16</v>
      </c>
      <c r="M1074">
        <f t="shared" si="48"/>
        <v>0</v>
      </c>
      <c r="N1074">
        <f t="shared" si="49"/>
        <v>629.97</v>
      </c>
      <c r="O1074">
        <f t="shared" si="50"/>
        <v>-629.97</v>
      </c>
    </row>
    <row r="1075" spans="1:15" x14ac:dyDescent="0.2">
      <c r="A1075" t="s">
        <v>104</v>
      </c>
      <c r="B1075">
        <v>60563</v>
      </c>
      <c r="C1075" t="s">
        <v>13</v>
      </c>
      <c r="D1075" t="s">
        <v>18</v>
      </c>
      <c r="E1075" s="3">
        <v>44641</v>
      </c>
      <c r="F1075" t="s">
        <v>39</v>
      </c>
      <c r="G1075" s="2">
        <v>44777</v>
      </c>
      <c r="H1075" t="s">
        <v>105</v>
      </c>
      <c r="I1075" s="2">
        <v>45078</v>
      </c>
      <c r="J1075">
        <v>635.70000000000005</v>
      </c>
      <c r="K1075">
        <v>76</v>
      </c>
      <c r="L1075" t="s">
        <v>20</v>
      </c>
      <c r="M1075">
        <f t="shared" si="48"/>
        <v>0</v>
      </c>
      <c r="N1075">
        <f t="shared" si="49"/>
        <v>635.70000000000005</v>
      </c>
      <c r="O1075">
        <f t="shared" si="50"/>
        <v>-635.70000000000005</v>
      </c>
    </row>
    <row r="1076" spans="1:15" x14ac:dyDescent="0.2">
      <c r="A1076" t="s">
        <v>104</v>
      </c>
      <c r="B1076">
        <v>60563</v>
      </c>
      <c r="C1076" t="s">
        <v>13</v>
      </c>
      <c r="D1076" t="s">
        <v>18</v>
      </c>
      <c r="E1076" s="3">
        <v>44641</v>
      </c>
      <c r="F1076" t="s">
        <v>39</v>
      </c>
      <c r="G1076" s="2">
        <v>44777</v>
      </c>
      <c r="H1076" t="s">
        <v>105</v>
      </c>
      <c r="I1076" s="2">
        <v>45108</v>
      </c>
      <c r="J1076">
        <v>567.36</v>
      </c>
      <c r="K1076">
        <v>38.9</v>
      </c>
      <c r="L1076" t="s">
        <v>19</v>
      </c>
      <c r="M1076">
        <f t="shared" si="48"/>
        <v>0</v>
      </c>
      <c r="N1076">
        <f t="shared" si="49"/>
        <v>567.36</v>
      </c>
      <c r="O1076">
        <f t="shared" si="50"/>
        <v>-567.36</v>
      </c>
    </row>
    <row r="1077" spans="1:15" x14ac:dyDescent="0.2">
      <c r="A1077" t="s">
        <v>104</v>
      </c>
      <c r="B1077">
        <v>60563</v>
      </c>
      <c r="C1077" t="s">
        <v>13</v>
      </c>
      <c r="D1077" t="s">
        <v>18</v>
      </c>
      <c r="E1077" s="3">
        <v>44641</v>
      </c>
      <c r="F1077" t="s">
        <v>39</v>
      </c>
      <c r="G1077" s="2">
        <v>44777</v>
      </c>
      <c r="H1077" t="s">
        <v>105</v>
      </c>
      <c r="I1077" s="2">
        <v>45139</v>
      </c>
      <c r="J1077">
        <v>775.27</v>
      </c>
      <c r="K1077">
        <v>80</v>
      </c>
      <c r="L1077" t="s">
        <v>20</v>
      </c>
      <c r="M1077">
        <f t="shared" si="48"/>
        <v>0</v>
      </c>
      <c r="N1077">
        <f t="shared" si="49"/>
        <v>775.27</v>
      </c>
      <c r="O1077">
        <f t="shared" si="50"/>
        <v>-775.27</v>
      </c>
    </row>
    <row r="1078" spans="1:15" x14ac:dyDescent="0.2">
      <c r="A1078" t="s">
        <v>104</v>
      </c>
      <c r="B1078">
        <v>60563</v>
      </c>
      <c r="C1078" t="s">
        <v>13</v>
      </c>
      <c r="D1078" t="s">
        <v>18</v>
      </c>
      <c r="E1078" s="3">
        <v>44641</v>
      </c>
      <c r="F1078" t="s">
        <v>39</v>
      </c>
      <c r="G1078" s="2">
        <v>44777</v>
      </c>
      <c r="H1078" t="s">
        <v>105</v>
      </c>
      <c r="I1078" s="2">
        <v>45170</v>
      </c>
      <c r="J1078">
        <v>645.29</v>
      </c>
      <c r="K1078">
        <v>84.9</v>
      </c>
      <c r="L1078" t="s">
        <v>20</v>
      </c>
      <c r="M1078">
        <f t="shared" si="48"/>
        <v>0</v>
      </c>
      <c r="N1078">
        <f t="shared" si="49"/>
        <v>645.29</v>
      </c>
      <c r="O1078">
        <f t="shared" si="50"/>
        <v>-645.29</v>
      </c>
    </row>
    <row r="1079" spans="1:15" x14ac:dyDescent="0.2">
      <c r="A1079" t="s">
        <v>104</v>
      </c>
      <c r="B1079">
        <v>60563</v>
      </c>
      <c r="C1079" t="s">
        <v>13</v>
      </c>
      <c r="D1079" t="s">
        <v>18</v>
      </c>
      <c r="E1079" s="3">
        <v>44641</v>
      </c>
      <c r="F1079" t="s">
        <v>39</v>
      </c>
      <c r="G1079" s="2">
        <v>44777</v>
      </c>
      <c r="H1079" t="s">
        <v>105</v>
      </c>
      <c r="I1079" s="2">
        <v>45200</v>
      </c>
      <c r="J1079">
        <v>716.36</v>
      </c>
      <c r="K1079">
        <v>80.8</v>
      </c>
      <c r="L1079" t="s">
        <v>20</v>
      </c>
      <c r="M1079">
        <f t="shared" si="48"/>
        <v>0</v>
      </c>
      <c r="N1079">
        <f t="shared" si="49"/>
        <v>716.36</v>
      </c>
      <c r="O1079">
        <f t="shared" si="50"/>
        <v>-716.36</v>
      </c>
    </row>
    <row r="1080" spans="1:15" x14ac:dyDescent="0.2">
      <c r="A1080" t="s">
        <v>104</v>
      </c>
      <c r="B1080">
        <v>60563</v>
      </c>
      <c r="C1080" t="s">
        <v>13</v>
      </c>
      <c r="D1080" t="s">
        <v>18</v>
      </c>
      <c r="E1080" s="3">
        <v>44641</v>
      </c>
      <c r="F1080" t="s">
        <v>39</v>
      </c>
      <c r="G1080" s="2">
        <v>44777</v>
      </c>
      <c r="H1080" t="s">
        <v>105</v>
      </c>
      <c r="I1080" s="2">
        <v>45231</v>
      </c>
      <c r="J1080">
        <v>656.52</v>
      </c>
      <c r="K1080">
        <v>46.5</v>
      </c>
      <c r="L1080" t="s">
        <v>16</v>
      </c>
      <c r="M1080">
        <f t="shared" si="48"/>
        <v>0</v>
      </c>
      <c r="N1080">
        <f t="shared" si="49"/>
        <v>656.52</v>
      </c>
      <c r="O1080">
        <f t="shared" si="50"/>
        <v>-656.52</v>
      </c>
    </row>
    <row r="1081" spans="1:15" x14ac:dyDescent="0.2">
      <c r="A1081" t="s">
        <v>104</v>
      </c>
      <c r="B1081">
        <v>60563</v>
      </c>
      <c r="C1081" t="s">
        <v>13</v>
      </c>
      <c r="D1081" t="s">
        <v>18</v>
      </c>
      <c r="E1081" s="3">
        <v>44641</v>
      </c>
      <c r="F1081" t="s">
        <v>39</v>
      </c>
      <c r="G1081" s="2">
        <v>44777</v>
      </c>
      <c r="H1081" t="s">
        <v>105</v>
      </c>
      <c r="I1081" s="2">
        <v>45261</v>
      </c>
      <c r="J1081">
        <v>630.91</v>
      </c>
      <c r="K1081">
        <v>29.2</v>
      </c>
      <c r="L1081" t="s">
        <v>19</v>
      </c>
      <c r="M1081">
        <f t="shared" si="48"/>
        <v>0</v>
      </c>
      <c r="N1081">
        <f t="shared" si="49"/>
        <v>630.91</v>
      </c>
      <c r="O1081">
        <f t="shared" si="50"/>
        <v>-630.91</v>
      </c>
    </row>
    <row r="1082" spans="1:15" x14ac:dyDescent="0.2">
      <c r="A1082" t="s">
        <v>106</v>
      </c>
      <c r="B1082">
        <v>60565</v>
      </c>
      <c r="C1082" t="s">
        <v>13</v>
      </c>
      <c r="D1082" t="s">
        <v>18</v>
      </c>
      <c r="E1082" s="3">
        <v>44883</v>
      </c>
      <c r="F1082" t="s">
        <v>46</v>
      </c>
      <c r="G1082" s="2">
        <v>45028</v>
      </c>
      <c r="H1082" t="s">
        <v>107</v>
      </c>
      <c r="I1082" s="2">
        <v>44562</v>
      </c>
      <c r="J1082">
        <v>755.65</v>
      </c>
      <c r="K1082">
        <v>43</v>
      </c>
      <c r="L1082" t="s">
        <v>16</v>
      </c>
      <c r="M1082">
        <f t="shared" si="48"/>
        <v>755.65</v>
      </c>
      <c r="N1082">
        <f t="shared" si="49"/>
        <v>0</v>
      </c>
      <c r="O1082">
        <f t="shared" si="50"/>
        <v>755.65</v>
      </c>
    </row>
    <row r="1083" spans="1:15" x14ac:dyDescent="0.2">
      <c r="A1083" t="s">
        <v>106</v>
      </c>
      <c r="B1083">
        <v>60565</v>
      </c>
      <c r="C1083" t="s">
        <v>13</v>
      </c>
      <c r="D1083" t="s">
        <v>18</v>
      </c>
      <c r="E1083" s="3">
        <v>44883</v>
      </c>
      <c r="F1083" t="s">
        <v>46</v>
      </c>
      <c r="G1083" s="2">
        <v>45028</v>
      </c>
      <c r="H1083" t="s">
        <v>107</v>
      </c>
      <c r="I1083" s="2">
        <v>44593</v>
      </c>
      <c r="J1083">
        <v>808.27</v>
      </c>
      <c r="K1083">
        <v>26.4</v>
      </c>
      <c r="L1083" t="s">
        <v>19</v>
      </c>
      <c r="M1083">
        <f t="shared" si="48"/>
        <v>808.27</v>
      </c>
      <c r="N1083">
        <f t="shared" si="49"/>
        <v>0</v>
      </c>
      <c r="O1083">
        <f t="shared" si="50"/>
        <v>808.27</v>
      </c>
    </row>
    <row r="1084" spans="1:15" x14ac:dyDescent="0.2">
      <c r="A1084" t="s">
        <v>106</v>
      </c>
      <c r="B1084">
        <v>60565</v>
      </c>
      <c r="C1084" t="s">
        <v>13</v>
      </c>
      <c r="D1084" t="s">
        <v>18</v>
      </c>
      <c r="E1084" s="3">
        <v>44883</v>
      </c>
      <c r="F1084" t="s">
        <v>46</v>
      </c>
      <c r="G1084" s="2">
        <v>45028</v>
      </c>
      <c r="H1084" t="s">
        <v>107</v>
      </c>
      <c r="I1084" s="2">
        <v>44621</v>
      </c>
      <c r="J1084">
        <v>780.91</v>
      </c>
      <c r="K1084">
        <v>29.5</v>
      </c>
      <c r="L1084" t="s">
        <v>19</v>
      </c>
      <c r="M1084">
        <f t="shared" si="48"/>
        <v>780.91</v>
      </c>
      <c r="N1084">
        <f t="shared" si="49"/>
        <v>0</v>
      </c>
      <c r="O1084">
        <f t="shared" si="50"/>
        <v>780.91</v>
      </c>
    </row>
    <row r="1085" spans="1:15" x14ac:dyDescent="0.2">
      <c r="A1085" t="s">
        <v>106</v>
      </c>
      <c r="B1085">
        <v>60565</v>
      </c>
      <c r="C1085" t="s">
        <v>13</v>
      </c>
      <c r="D1085" t="s">
        <v>18</v>
      </c>
      <c r="E1085" s="3">
        <v>44883</v>
      </c>
      <c r="F1085" t="s">
        <v>46</v>
      </c>
      <c r="G1085" s="2">
        <v>45028</v>
      </c>
      <c r="H1085" t="s">
        <v>107</v>
      </c>
      <c r="I1085" s="2">
        <v>44652</v>
      </c>
      <c r="J1085">
        <v>831.3</v>
      </c>
      <c r="K1085">
        <v>50.8</v>
      </c>
      <c r="L1085" t="s">
        <v>16</v>
      </c>
      <c r="M1085">
        <f t="shared" si="48"/>
        <v>831.3</v>
      </c>
      <c r="N1085">
        <f t="shared" si="49"/>
        <v>0</v>
      </c>
      <c r="O1085">
        <f t="shared" si="50"/>
        <v>831.3</v>
      </c>
    </row>
    <row r="1086" spans="1:15" x14ac:dyDescent="0.2">
      <c r="A1086" t="s">
        <v>106</v>
      </c>
      <c r="B1086">
        <v>60565</v>
      </c>
      <c r="C1086" t="s">
        <v>13</v>
      </c>
      <c r="D1086" t="s">
        <v>18</v>
      </c>
      <c r="E1086" s="3">
        <v>44883</v>
      </c>
      <c r="F1086" t="s">
        <v>46</v>
      </c>
      <c r="G1086" s="2">
        <v>45028</v>
      </c>
      <c r="H1086" t="s">
        <v>107</v>
      </c>
      <c r="I1086" s="2">
        <v>44682</v>
      </c>
      <c r="J1086">
        <v>680.57</v>
      </c>
      <c r="K1086">
        <v>46.3</v>
      </c>
      <c r="L1086" t="s">
        <v>16</v>
      </c>
      <c r="M1086">
        <f t="shared" si="48"/>
        <v>680.57</v>
      </c>
      <c r="N1086">
        <f t="shared" si="49"/>
        <v>0</v>
      </c>
      <c r="O1086">
        <f t="shared" si="50"/>
        <v>680.57</v>
      </c>
    </row>
    <row r="1087" spans="1:15" x14ac:dyDescent="0.2">
      <c r="A1087" t="s">
        <v>106</v>
      </c>
      <c r="B1087">
        <v>60565</v>
      </c>
      <c r="C1087" t="s">
        <v>13</v>
      </c>
      <c r="D1087" t="s">
        <v>18</v>
      </c>
      <c r="E1087" s="3">
        <v>44883</v>
      </c>
      <c r="F1087" t="s">
        <v>46</v>
      </c>
      <c r="G1087" s="2">
        <v>45028</v>
      </c>
      <c r="H1087" t="s">
        <v>107</v>
      </c>
      <c r="I1087" s="2">
        <v>44713</v>
      </c>
      <c r="J1087">
        <v>827.72</v>
      </c>
      <c r="K1087">
        <v>61.1</v>
      </c>
      <c r="L1087" t="s">
        <v>16</v>
      </c>
      <c r="M1087">
        <f t="shared" si="48"/>
        <v>827.72</v>
      </c>
      <c r="N1087">
        <f t="shared" si="49"/>
        <v>0</v>
      </c>
      <c r="O1087">
        <f t="shared" si="50"/>
        <v>827.72</v>
      </c>
    </row>
    <row r="1088" spans="1:15" x14ac:dyDescent="0.2">
      <c r="A1088" t="s">
        <v>106</v>
      </c>
      <c r="B1088">
        <v>60565</v>
      </c>
      <c r="C1088" t="s">
        <v>13</v>
      </c>
      <c r="D1088" t="s">
        <v>18</v>
      </c>
      <c r="E1088" s="3">
        <v>44883</v>
      </c>
      <c r="F1088" t="s">
        <v>46</v>
      </c>
      <c r="G1088" s="2">
        <v>45028</v>
      </c>
      <c r="H1088" t="s">
        <v>107</v>
      </c>
      <c r="I1088" s="2">
        <v>44743</v>
      </c>
      <c r="J1088">
        <v>728.17</v>
      </c>
      <c r="K1088">
        <v>27.4</v>
      </c>
      <c r="L1088" t="s">
        <v>19</v>
      </c>
      <c r="M1088">
        <f t="shared" si="48"/>
        <v>728.17</v>
      </c>
      <c r="N1088">
        <f t="shared" si="49"/>
        <v>0</v>
      </c>
      <c r="O1088">
        <f t="shared" si="50"/>
        <v>728.17</v>
      </c>
    </row>
    <row r="1089" spans="1:15" x14ac:dyDescent="0.2">
      <c r="A1089" t="s">
        <v>106</v>
      </c>
      <c r="B1089">
        <v>60565</v>
      </c>
      <c r="C1089" t="s">
        <v>13</v>
      </c>
      <c r="D1089" t="s">
        <v>18</v>
      </c>
      <c r="E1089" s="3">
        <v>44883</v>
      </c>
      <c r="F1089" t="s">
        <v>46</v>
      </c>
      <c r="G1089" s="2">
        <v>45028</v>
      </c>
      <c r="H1089" t="s">
        <v>107</v>
      </c>
      <c r="I1089" s="2">
        <v>44774</v>
      </c>
      <c r="J1089">
        <v>890.59</v>
      </c>
      <c r="K1089">
        <v>54.2</v>
      </c>
      <c r="L1089" t="s">
        <v>16</v>
      </c>
      <c r="M1089">
        <f t="shared" si="48"/>
        <v>890.59</v>
      </c>
      <c r="N1089">
        <f t="shared" si="49"/>
        <v>0</v>
      </c>
      <c r="O1089">
        <f t="shared" si="50"/>
        <v>890.59</v>
      </c>
    </row>
    <row r="1090" spans="1:15" x14ac:dyDescent="0.2">
      <c r="A1090" t="s">
        <v>106</v>
      </c>
      <c r="B1090">
        <v>60565</v>
      </c>
      <c r="C1090" t="s">
        <v>13</v>
      </c>
      <c r="D1090" t="s">
        <v>18</v>
      </c>
      <c r="E1090" s="3">
        <v>44883</v>
      </c>
      <c r="F1090" t="s">
        <v>46</v>
      </c>
      <c r="G1090" s="2">
        <v>45028</v>
      </c>
      <c r="H1090" t="s">
        <v>107</v>
      </c>
      <c r="I1090" s="2">
        <v>44805</v>
      </c>
      <c r="J1090">
        <v>732.75</v>
      </c>
      <c r="K1090">
        <v>41.9</v>
      </c>
      <c r="L1090" t="s">
        <v>16</v>
      </c>
      <c r="M1090">
        <f t="shared" ref="M1090:M1153" si="51">SUMIFS(J1090,I1090, "&lt;" &amp;G1090,I1090,"&lt;&gt;",G1090,"&lt;&gt;")</f>
        <v>732.75</v>
      </c>
      <c r="N1090">
        <f t="shared" ref="N1090:N1153" si="52">SUMIFS(J1090,I1090, "&gt;=" &amp;G1090,I1090,"&lt;&gt;",G1090,"&lt;&gt;")</f>
        <v>0</v>
      </c>
      <c r="O1090">
        <f t="shared" ref="O1090:O1153" si="53">SUM(M1090-N1090)</f>
        <v>732.75</v>
      </c>
    </row>
    <row r="1091" spans="1:15" x14ac:dyDescent="0.2">
      <c r="A1091" t="s">
        <v>106</v>
      </c>
      <c r="B1091">
        <v>60565</v>
      </c>
      <c r="C1091" t="s">
        <v>13</v>
      </c>
      <c r="D1091" t="s">
        <v>18</v>
      </c>
      <c r="E1091" s="3">
        <v>44883</v>
      </c>
      <c r="F1091" t="s">
        <v>46</v>
      </c>
      <c r="G1091" s="2">
        <v>45028</v>
      </c>
      <c r="H1091" t="s">
        <v>107</v>
      </c>
      <c r="I1091" s="2">
        <v>44835</v>
      </c>
      <c r="J1091">
        <v>734.49</v>
      </c>
      <c r="K1091">
        <v>74.099999999999994</v>
      </c>
      <c r="L1091" t="s">
        <v>20</v>
      </c>
      <c r="M1091">
        <f t="shared" si="51"/>
        <v>734.49</v>
      </c>
      <c r="N1091">
        <f t="shared" si="52"/>
        <v>0</v>
      </c>
      <c r="O1091">
        <f t="shared" si="53"/>
        <v>734.49</v>
      </c>
    </row>
    <row r="1092" spans="1:15" x14ac:dyDescent="0.2">
      <c r="A1092" t="s">
        <v>106</v>
      </c>
      <c r="B1092">
        <v>60565</v>
      </c>
      <c r="C1092" t="s">
        <v>13</v>
      </c>
      <c r="D1092" t="s">
        <v>18</v>
      </c>
      <c r="E1092" s="3">
        <v>44883</v>
      </c>
      <c r="F1092" t="s">
        <v>46</v>
      </c>
      <c r="G1092" s="2">
        <v>45028</v>
      </c>
      <c r="H1092" t="s">
        <v>107</v>
      </c>
      <c r="I1092" s="2">
        <v>44866</v>
      </c>
      <c r="J1092">
        <v>844.54</v>
      </c>
      <c r="K1092">
        <v>42.6</v>
      </c>
      <c r="L1092" t="s">
        <v>16</v>
      </c>
      <c r="M1092">
        <f t="shared" si="51"/>
        <v>844.54</v>
      </c>
      <c r="N1092">
        <f t="shared" si="52"/>
        <v>0</v>
      </c>
      <c r="O1092">
        <f t="shared" si="53"/>
        <v>844.54</v>
      </c>
    </row>
    <row r="1093" spans="1:15" x14ac:dyDescent="0.2">
      <c r="A1093" t="s">
        <v>106</v>
      </c>
      <c r="B1093">
        <v>60565</v>
      </c>
      <c r="C1093" t="s">
        <v>13</v>
      </c>
      <c r="D1093" t="s">
        <v>18</v>
      </c>
      <c r="E1093" s="3">
        <v>44883</v>
      </c>
      <c r="F1093" t="s">
        <v>46</v>
      </c>
      <c r="G1093" s="2">
        <v>45028</v>
      </c>
      <c r="H1093" t="s">
        <v>107</v>
      </c>
      <c r="I1093" s="2">
        <v>44896</v>
      </c>
      <c r="J1093">
        <v>801.42</v>
      </c>
      <c r="K1093">
        <v>52.3</v>
      </c>
      <c r="L1093" t="s">
        <v>16</v>
      </c>
      <c r="M1093">
        <f t="shared" si="51"/>
        <v>801.42</v>
      </c>
      <c r="N1093">
        <f t="shared" si="52"/>
        <v>0</v>
      </c>
      <c r="O1093">
        <f t="shared" si="53"/>
        <v>801.42</v>
      </c>
    </row>
    <row r="1094" spans="1:15" x14ac:dyDescent="0.2">
      <c r="A1094" t="s">
        <v>106</v>
      </c>
      <c r="B1094">
        <v>60565</v>
      </c>
      <c r="C1094" t="s">
        <v>13</v>
      </c>
      <c r="D1094" t="s">
        <v>18</v>
      </c>
      <c r="E1094" s="3">
        <v>44883</v>
      </c>
      <c r="F1094" t="s">
        <v>46</v>
      </c>
      <c r="G1094" s="2">
        <v>45028</v>
      </c>
      <c r="H1094" t="s">
        <v>107</v>
      </c>
      <c r="I1094" s="2">
        <v>44927</v>
      </c>
      <c r="J1094">
        <v>927.67</v>
      </c>
      <c r="K1094">
        <v>76.2</v>
      </c>
      <c r="L1094" t="s">
        <v>20</v>
      </c>
      <c r="M1094">
        <f t="shared" si="51"/>
        <v>927.67</v>
      </c>
      <c r="N1094">
        <f t="shared" si="52"/>
        <v>0</v>
      </c>
      <c r="O1094">
        <f t="shared" si="53"/>
        <v>927.67</v>
      </c>
    </row>
    <row r="1095" spans="1:15" x14ac:dyDescent="0.2">
      <c r="A1095" t="s">
        <v>106</v>
      </c>
      <c r="B1095">
        <v>60565</v>
      </c>
      <c r="C1095" t="s">
        <v>13</v>
      </c>
      <c r="D1095" t="s">
        <v>18</v>
      </c>
      <c r="E1095" s="3">
        <v>44883</v>
      </c>
      <c r="F1095" t="s">
        <v>46</v>
      </c>
      <c r="G1095" s="2">
        <v>45028</v>
      </c>
      <c r="H1095" t="s">
        <v>107</v>
      </c>
      <c r="I1095" s="2">
        <v>44958</v>
      </c>
      <c r="J1095">
        <v>537.07000000000005</v>
      </c>
      <c r="K1095">
        <v>73.7</v>
      </c>
      <c r="L1095" t="s">
        <v>20</v>
      </c>
      <c r="M1095">
        <f t="shared" si="51"/>
        <v>537.07000000000005</v>
      </c>
      <c r="N1095">
        <f t="shared" si="52"/>
        <v>0</v>
      </c>
      <c r="O1095">
        <f t="shared" si="53"/>
        <v>537.07000000000005</v>
      </c>
    </row>
    <row r="1096" spans="1:15" x14ac:dyDescent="0.2">
      <c r="A1096" t="s">
        <v>106</v>
      </c>
      <c r="B1096">
        <v>60565</v>
      </c>
      <c r="C1096" t="s">
        <v>13</v>
      </c>
      <c r="D1096" t="s">
        <v>18</v>
      </c>
      <c r="E1096" s="3">
        <v>44883</v>
      </c>
      <c r="F1096" t="s">
        <v>46</v>
      </c>
      <c r="G1096" s="2">
        <v>45028</v>
      </c>
      <c r="H1096" t="s">
        <v>107</v>
      </c>
      <c r="I1096" s="2">
        <v>44986</v>
      </c>
      <c r="J1096">
        <v>710.99</v>
      </c>
      <c r="K1096">
        <v>52.8</v>
      </c>
      <c r="L1096" t="s">
        <v>16</v>
      </c>
      <c r="M1096">
        <f t="shared" si="51"/>
        <v>710.99</v>
      </c>
      <c r="N1096">
        <f t="shared" si="52"/>
        <v>0</v>
      </c>
      <c r="O1096">
        <f t="shared" si="53"/>
        <v>710.99</v>
      </c>
    </row>
    <row r="1097" spans="1:15" x14ac:dyDescent="0.2">
      <c r="A1097" t="s">
        <v>106</v>
      </c>
      <c r="B1097">
        <v>60565</v>
      </c>
      <c r="C1097" t="s">
        <v>13</v>
      </c>
      <c r="D1097" t="s">
        <v>18</v>
      </c>
      <c r="E1097" s="3">
        <v>44883</v>
      </c>
      <c r="F1097" t="s">
        <v>46</v>
      </c>
      <c r="G1097" s="2">
        <v>45028</v>
      </c>
      <c r="H1097" t="s">
        <v>107</v>
      </c>
      <c r="I1097" s="2">
        <v>45017</v>
      </c>
      <c r="J1097">
        <v>812.96</v>
      </c>
      <c r="K1097">
        <v>103.1</v>
      </c>
      <c r="L1097" t="s">
        <v>20</v>
      </c>
      <c r="M1097">
        <f t="shared" si="51"/>
        <v>812.96</v>
      </c>
      <c r="N1097">
        <f t="shared" si="52"/>
        <v>0</v>
      </c>
      <c r="O1097">
        <f t="shared" si="53"/>
        <v>812.96</v>
      </c>
    </row>
    <row r="1098" spans="1:15" x14ac:dyDescent="0.2">
      <c r="A1098" t="s">
        <v>106</v>
      </c>
      <c r="B1098">
        <v>60565</v>
      </c>
      <c r="C1098" t="s">
        <v>13</v>
      </c>
      <c r="D1098" t="s">
        <v>18</v>
      </c>
      <c r="E1098" s="3">
        <v>44883</v>
      </c>
      <c r="F1098" t="s">
        <v>46</v>
      </c>
      <c r="G1098" s="2">
        <v>45028</v>
      </c>
      <c r="H1098" t="s">
        <v>107</v>
      </c>
      <c r="I1098" s="2">
        <v>45047</v>
      </c>
      <c r="J1098">
        <v>642.16999999999996</v>
      </c>
      <c r="K1098">
        <v>40.6</v>
      </c>
      <c r="L1098" t="s">
        <v>16</v>
      </c>
      <c r="M1098">
        <f t="shared" si="51"/>
        <v>0</v>
      </c>
      <c r="N1098">
        <f t="shared" si="52"/>
        <v>642.16999999999996</v>
      </c>
      <c r="O1098">
        <f t="shared" si="53"/>
        <v>-642.16999999999996</v>
      </c>
    </row>
    <row r="1099" spans="1:15" x14ac:dyDescent="0.2">
      <c r="A1099" t="s">
        <v>106</v>
      </c>
      <c r="B1099">
        <v>60565</v>
      </c>
      <c r="C1099" t="s">
        <v>13</v>
      </c>
      <c r="D1099" t="s">
        <v>18</v>
      </c>
      <c r="E1099" s="3">
        <v>44883</v>
      </c>
      <c r="F1099" t="s">
        <v>46</v>
      </c>
      <c r="G1099" s="2">
        <v>45028</v>
      </c>
      <c r="H1099" t="s">
        <v>107</v>
      </c>
      <c r="I1099" s="2">
        <v>45078</v>
      </c>
      <c r="J1099">
        <v>608.94000000000005</v>
      </c>
      <c r="K1099">
        <v>76</v>
      </c>
      <c r="L1099" t="s">
        <v>20</v>
      </c>
      <c r="M1099">
        <f t="shared" si="51"/>
        <v>0</v>
      </c>
      <c r="N1099">
        <f t="shared" si="52"/>
        <v>608.94000000000005</v>
      </c>
      <c r="O1099">
        <f t="shared" si="53"/>
        <v>-608.94000000000005</v>
      </c>
    </row>
    <row r="1100" spans="1:15" x14ac:dyDescent="0.2">
      <c r="A1100" t="s">
        <v>106</v>
      </c>
      <c r="B1100">
        <v>60565</v>
      </c>
      <c r="C1100" t="s">
        <v>13</v>
      </c>
      <c r="D1100" t="s">
        <v>18</v>
      </c>
      <c r="E1100" s="3">
        <v>44883</v>
      </c>
      <c r="F1100" t="s">
        <v>46</v>
      </c>
      <c r="G1100" s="2">
        <v>45028</v>
      </c>
      <c r="H1100" t="s">
        <v>107</v>
      </c>
      <c r="I1100" s="2">
        <v>45108</v>
      </c>
      <c r="J1100">
        <v>612.91</v>
      </c>
      <c r="K1100">
        <v>38.9</v>
      </c>
      <c r="L1100" t="s">
        <v>19</v>
      </c>
      <c r="M1100">
        <f t="shared" si="51"/>
        <v>0</v>
      </c>
      <c r="N1100">
        <f t="shared" si="52"/>
        <v>612.91</v>
      </c>
      <c r="O1100">
        <f t="shared" si="53"/>
        <v>-612.91</v>
      </c>
    </row>
    <row r="1101" spans="1:15" x14ac:dyDescent="0.2">
      <c r="A1101" t="s">
        <v>106</v>
      </c>
      <c r="B1101">
        <v>60565</v>
      </c>
      <c r="C1101" t="s">
        <v>13</v>
      </c>
      <c r="D1101" t="s">
        <v>18</v>
      </c>
      <c r="E1101" s="3">
        <v>44883</v>
      </c>
      <c r="F1101" t="s">
        <v>46</v>
      </c>
      <c r="G1101" s="2">
        <v>45028</v>
      </c>
      <c r="H1101" t="s">
        <v>107</v>
      </c>
      <c r="I1101" s="2">
        <v>45139</v>
      </c>
      <c r="J1101">
        <v>538.79999999999995</v>
      </c>
      <c r="K1101">
        <v>80</v>
      </c>
      <c r="L1101" t="s">
        <v>20</v>
      </c>
      <c r="M1101">
        <f t="shared" si="51"/>
        <v>0</v>
      </c>
      <c r="N1101">
        <f t="shared" si="52"/>
        <v>538.79999999999995</v>
      </c>
      <c r="O1101">
        <f t="shared" si="53"/>
        <v>-538.79999999999995</v>
      </c>
    </row>
    <row r="1102" spans="1:15" x14ac:dyDescent="0.2">
      <c r="A1102" t="s">
        <v>106</v>
      </c>
      <c r="B1102">
        <v>60565</v>
      </c>
      <c r="C1102" t="s">
        <v>13</v>
      </c>
      <c r="D1102" t="s">
        <v>18</v>
      </c>
      <c r="E1102" s="3">
        <v>44883</v>
      </c>
      <c r="F1102" t="s">
        <v>46</v>
      </c>
      <c r="G1102" s="2">
        <v>45028</v>
      </c>
      <c r="H1102" t="s">
        <v>107</v>
      </c>
      <c r="I1102" s="2">
        <v>45170</v>
      </c>
      <c r="J1102">
        <v>834.97</v>
      </c>
      <c r="K1102">
        <v>84.9</v>
      </c>
      <c r="L1102" t="s">
        <v>20</v>
      </c>
      <c r="M1102">
        <f t="shared" si="51"/>
        <v>0</v>
      </c>
      <c r="N1102">
        <f t="shared" si="52"/>
        <v>834.97</v>
      </c>
      <c r="O1102">
        <f t="shared" si="53"/>
        <v>-834.97</v>
      </c>
    </row>
    <row r="1103" spans="1:15" x14ac:dyDescent="0.2">
      <c r="A1103" t="s">
        <v>106</v>
      </c>
      <c r="B1103">
        <v>60565</v>
      </c>
      <c r="C1103" t="s">
        <v>13</v>
      </c>
      <c r="D1103" t="s">
        <v>18</v>
      </c>
      <c r="E1103" s="3">
        <v>44883</v>
      </c>
      <c r="F1103" t="s">
        <v>46</v>
      </c>
      <c r="G1103" s="2">
        <v>45028</v>
      </c>
      <c r="H1103" t="s">
        <v>107</v>
      </c>
      <c r="I1103" s="2">
        <v>45200</v>
      </c>
      <c r="J1103">
        <v>667.04</v>
      </c>
      <c r="K1103">
        <v>80.8</v>
      </c>
      <c r="L1103" t="s">
        <v>20</v>
      </c>
      <c r="M1103">
        <f t="shared" si="51"/>
        <v>0</v>
      </c>
      <c r="N1103">
        <f t="shared" si="52"/>
        <v>667.04</v>
      </c>
      <c r="O1103">
        <f t="shared" si="53"/>
        <v>-667.04</v>
      </c>
    </row>
    <row r="1104" spans="1:15" x14ac:dyDescent="0.2">
      <c r="A1104" t="s">
        <v>106</v>
      </c>
      <c r="B1104">
        <v>60565</v>
      </c>
      <c r="C1104" t="s">
        <v>13</v>
      </c>
      <c r="D1104" t="s">
        <v>18</v>
      </c>
      <c r="E1104" s="3">
        <v>44883</v>
      </c>
      <c r="F1104" t="s">
        <v>46</v>
      </c>
      <c r="G1104" s="2">
        <v>45028</v>
      </c>
      <c r="H1104" t="s">
        <v>107</v>
      </c>
      <c r="I1104" s="2">
        <v>45231</v>
      </c>
      <c r="J1104">
        <v>655.20000000000005</v>
      </c>
      <c r="K1104">
        <v>46.5</v>
      </c>
      <c r="L1104" t="s">
        <v>16</v>
      </c>
      <c r="M1104">
        <f t="shared" si="51"/>
        <v>0</v>
      </c>
      <c r="N1104">
        <f t="shared" si="52"/>
        <v>655.20000000000005</v>
      </c>
      <c r="O1104">
        <f t="shared" si="53"/>
        <v>-655.20000000000005</v>
      </c>
    </row>
    <row r="1105" spans="1:15" x14ac:dyDescent="0.2">
      <c r="A1105" t="s">
        <v>106</v>
      </c>
      <c r="B1105">
        <v>60565</v>
      </c>
      <c r="C1105" t="s">
        <v>13</v>
      </c>
      <c r="D1105" t="s">
        <v>18</v>
      </c>
      <c r="E1105" s="3">
        <v>44883</v>
      </c>
      <c r="F1105" t="s">
        <v>46</v>
      </c>
      <c r="G1105" s="2">
        <v>45028</v>
      </c>
      <c r="H1105" t="s">
        <v>107</v>
      </c>
      <c r="I1105" s="2">
        <v>45261</v>
      </c>
      <c r="J1105">
        <v>487.59</v>
      </c>
      <c r="K1105">
        <v>29.2</v>
      </c>
      <c r="L1105" t="s">
        <v>19</v>
      </c>
      <c r="M1105">
        <f t="shared" si="51"/>
        <v>0</v>
      </c>
      <c r="N1105">
        <f t="shared" si="52"/>
        <v>487.59</v>
      </c>
      <c r="O1105">
        <f t="shared" si="53"/>
        <v>-487.59</v>
      </c>
    </row>
    <row r="1106" spans="1:15" x14ac:dyDescent="0.2">
      <c r="A1106" t="s">
        <v>108</v>
      </c>
      <c r="B1106">
        <v>60564</v>
      </c>
      <c r="C1106" t="s">
        <v>13</v>
      </c>
      <c r="D1106" t="s">
        <v>18</v>
      </c>
      <c r="E1106" s="3">
        <v>44651</v>
      </c>
      <c r="F1106" t="s">
        <v>46</v>
      </c>
      <c r="G1106" s="2">
        <v>44848</v>
      </c>
      <c r="H1106" t="s">
        <v>109</v>
      </c>
      <c r="I1106" s="2">
        <v>44562</v>
      </c>
      <c r="J1106">
        <v>636.92999999999995</v>
      </c>
      <c r="K1106">
        <v>43</v>
      </c>
      <c r="L1106" t="s">
        <v>16</v>
      </c>
      <c r="M1106">
        <f t="shared" si="51"/>
        <v>636.92999999999995</v>
      </c>
      <c r="N1106">
        <f t="shared" si="52"/>
        <v>0</v>
      </c>
      <c r="O1106">
        <f t="shared" si="53"/>
        <v>636.92999999999995</v>
      </c>
    </row>
    <row r="1107" spans="1:15" x14ac:dyDescent="0.2">
      <c r="A1107" t="s">
        <v>108</v>
      </c>
      <c r="B1107">
        <v>60564</v>
      </c>
      <c r="C1107" t="s">
        <v>13</v>
      </c>
      <c r="D1107" t="s">
        <v>18</v>
      </c>
      <c r="E1107" s="3">
        <v>44651</v>
      </c>
      <c r="F1107" t="s">
        <v>46</v>
      </c>
      <c r="G1107" s="2">
        <v>44848</v>
      </c>
      <c r="H1107" t="s">
        <v>109</v>
      </c>
      <c r="I1107" s="2">
        <v>44593</v>
      </c>
      <c r="J1107">
        <v>817.1</v>
      </c>
      <c r="K1107">
        <v>26.4</v>
      </c>
      <c r="L1107" t="s">
        <v>19</v>
      </c>
      <c r="M1107">
        <f t="shared" si="51"/>
        <v>817.1</v>
      </c>
      <c r="N1107">
        <f t="shared" si="52"/>
        <v>0</v>
      </c>
      <c r="O1107">
        <f t="shared" si="53"/>
        <v>817.1</v>
      </c>
    </row>
    <row r="1108" spans="1:15" x14ac:dyDescent="0.2">
      <c r="A1108" t="s">
        <v>108</v>
      </c>
      <c r="B1108">
        <v>60564</v>
      </c>
      <c r="C1108" t="s">
        <v>13</v>
      </c>
      <c r="D1108" t="s">
        <v>18</v>
      </c>
      <c r="E1108" s="3">
        <v>44651</v>
      </c>
      <c r="F1108" t="s">
        <v>46</v>
      </c>
      <c r="G1108" s="2">
        <v>44848</v>
      </c>
      <c r="H1108" t="s">
        <v>109</v>
      </c>
      <c r="I1108" s="2">
        <v>44621</v>
      </c>
      <c r="J1108">
        <v>558.35</v>
      </c>
      <c r="K1108">
        <v>29.5</v>
      </c>
      <c r="L1108" t="s">
        <v>19</v>
      </c>
      <c r="M1108">
        <f t="shared" si="51"/>
        <v>558.35</v>
      </c>
      <c r="N1108">
        <f t="shared" si="52"/>
        <v>0</v>
      </c>
      <c r="O1108">
        <f t="shared" si="53"/>
        <v>558.35</v>
      </c>
    </row>
    <row r="1109" spans="1:15" x14ac:dyDescent="0.2">
      <c r="A1109" t="s">
        <v>108</v>
      </c>
      <c r="B1109">
        <v>60564</v>
      </c>
      <c r="C1109" t="s">
        <v>13</v>
      </c>
      <c r="D1109" t="s">
        <v>18</v>
      </c>
      <c r="E1109" s="3">
        <v>44651</v>
      </c>
      <c r="F1109" t="s">
        <v>46</v>
      </c>
      <c r="G1109" s="2">
        <v>44848</v>
      </c>
      <c r="H1109" t="s">
        <v>109</v>
      </c>
      <c r="I1109" s="2">
        <v>44652</v>
      </c>
      <c r="J1109">
        <v>746.69</v>
      </c>
      <c r="K1109">
        <v>50.8</v>
      </c>
      <c r="L1109" t="s">
        <v>16</v>
      </c>
      <c r="M1109">
        <f t="shared" si="51"/>
        <v>746.69</v>
      </c>
      <c r="N1109">
        <f t="shared" si="52"/>
        <v>0</v>
      </c>
      <c r="O1109">
        <f t="shared" si="53"/>
        <v>746.69</v>
      </c>
    </row>
    <row r="1110" spans="1:15" x14ac:dyDescent="0.2">
      <c r="A1110" t="s">
        <v>108</v>
      </c>
      <c r="B1110">
        <v>60564</v>
      </c>
      <c r="C1110" t="s">
        <v>13</v>
      </c>
      <c r="D1110" t="s">
        <v>18</v>
      </c>
      <c r="E1110" s="3">
        <v>44651</v>
      </c>
      <c r="F1110" t="s">
        <v>46</v>
      </c>
      <c r="G1110" s="2">
        <v>44848</v>
      </c>
      <c r="H1110" t="s">
        <v>109</v>
      </c>
      <c r="I1110" s="2">
        <v>44682</v>
      </c>
      <c r="J1110">
        <v>962.44</v>
      </c>
      <c r="K1110">
        <v>46.3</v>
      </c>
      <c r="L1110" t="s">
        <v>16</v>
      </c>
      <c r="M1110">
        <f t="shared" si="51"/>
        <v>962.44</v>
      </c>
      <c r="N1110">
        <f t="shared" si="52"/>
        <v>0</v>
      </c>
      <c r="O1110">
        <f t="shared" si="53"/>
        <v>962.44</v>
      </c>
    </row>
    <row r="1111" spans="1:15" x14ac:dyDescent="0.2">
      <c r="A1111" t="s">
        <v>108</v>
      </c>
      <c r="B1111">
        <v>60564</v>
      </c>
      <c r="C1111" t="s">
        <v>13</v>
      </c>
      <c r="D1111" t="s">
        <v>18</v>
      </c>
      <c r="E1111" s="3">
        <v>44651</v>
      </c>
      <c r="F1111" t="s">
        <v>46</v>
      </c>
      <c r="G1111" s="2">
        <v>44848</v>
      </c>
      <c r="H1111" t="s">
        <v>109</v>
      </c>
      <c r="I1111" s="2">
        <v>44713</v>
      </c>
      <c r="J1111">
        <v>832.51</v>
      </c>
      <c r="K1111">
        <v>61.1</v>
      </c>
      <c r="L1111" t="s">
        <v>16</v>
      </c>
      <c r="M1111">
        <f t="shared" si="51"/>
        <v>832.51</v>
      </c>
      <c r="N1111">
        <f t="shared" si="52"/>
        <v>0</v>
      </c>
      <c r="O1111">
        <f t="shared" si="53"/>
        <v>832.51</v>
      </c>
    </row>
    <row r="1112" spans="1:15" x14ac:dyDescent="0.2">
      <c r="A1112" t="s">
        <v>108</v>
      </c>
      <c r="B1112">
        <v>60564</v>
      </c>
      <c r="C1112" t="s">
        <v>13</v>
      </c>
      <c r="D1112" t="s">
        <v>18</v>
      </c>
      <c r="E1112" s="3">
        <v>44651</v>
      </c>
      <c r="F1112" t="s">
        <v>46</v>
      </c>
      <c r="G1112" s="2">
        <v>44848</v>
      </c>
      <c r="H1112" t="s">
        <v>109</v>
      </c>
      <c r="I1112" s="2">
        <v>44743</v>
      </c>
      <c r="J1112">
        <v>817.94</v>
      </c>
      <c r="K1112">
        <v>27.4</v>
      </c>
      <c r="L1112" t="s">
        <v>19</v>
      </c>
      <c r="M1112">
        <f t="shared" si="51"/>
        <v>817.94</v>
      </c>
      <c r="N1112">
        <f t="shared" si="52"/>
        <v>0</v>
      </c>
      <c r="O1112">
        <f t="shared" si="53"/>
        <v>817.94</v>
      </c>
    </row>
    <row r="1113" spans="1:15" x14ac:dyDescent="0.2">
      <c r="A1113" t="s">
        <v>108</v>
      </c>
      <c r="B1113">
        <v>60564</v>
      </c>
      <c r="C1113" t="s">
        <v>13</v>
      </c>
      <c r="D1113" t="s">
        <v>18</v>
      </c>
      <c r="E1113" s="3">
        <v>44651</v>
      </c>
      <c r="F1113" t="s">
        <v>46</v>
      </c>
      <c r="G1113" s="2">
        <v>44848</v>
      </c>
      <c r="H1113" t="s">
        <v>109</v>
      </c>
      <c r="I1113" s="2">
        <v>44774</v>
      </c>
      <c r="J1113">
        <v>982.08</v>
      </c>
      <c r="K1113">
        <v>54.2</v>
      </c>
      <c r="L1113" t="s">
        <v>16</v>
      </c>
      <c r="M1113">
        <f t="shared" si="51"/>
        <v>982.08</v>
      </c>
      <c r="N1113">
        <f t="shared" si="52"/>
        <v>0</v>
      </c>
      <c r="O1113">
        <f t="shared" si="53"/>
        <v>982.08</v>
      </c>
    </row>
    <row r="1114" spans="1:15" x14ac:dyDescent="0.2">
      <c r="A1114" t="s">
        <v>108</v>
      </c>
      <c r="B1114">
        <v>60564</v>
      </c>
      <c r="C1114" t="s">
        <v>13</v>
      </c>
      <c r="D1114" t="s">
        <v>18</v>
      </c>
      <c r="E1114" s="3">
        <v>44651</v>
      </c>
      <c r="F1114" t="s">
        <v>46</v>
      </c>
      <c r="G1114" s="2">
        <v>44848</v>
      </c>
      <c r="H1114" t="s">
        <v>109</v>
      </c>
      <c r="I1114" s="2">
        <v>44805</v>
      </c>
      <c r="J1114">
        <v>772.94</v>
      </c>
      <c r="K1114">
        <v>41.9</v>
      </c>
      <c r="L1114" t="s">
        <v>16</v>
      </c>
      <c r="M1114">
        <f t="shared" si="51"/>
        <v>772.94</v>
      </c>
      <c r="N1114">
        <f t="shared" si="52"/>
        <v>0</v>
      </c>
      <c r="O1114">
        <f t="shared" si="53"/>
        <v>772.94</v>
      </c>
    </row>
    <row r="1115" spans="1:15" x14ac:dyDescent="0.2">
      <c r="A1115" t="s">
        <v>108</v>
      </c>
      <c r="B1115">
        <v>60564</v>
      </c>
      <c r="C1115" t="s">
        <v>13</v>
      </c>
      <c r="D1115" t="s">
        <v>18</v>
      </c>
      <c r="E1115" s="3">
        <v>44651</v>
      </c>
      <c r="F1115" t="s">
        <v>46</v>
      </c>
      <c r="G1115" s="2">
        <v>44848</v>
      </c>
      <c r="H1115" t="s">
        <v>109</v>
      </c>
      <c r="I1115" s="2">
        <v>44835</v>
      </c>
      <c r="J1115">
        <v>926.18</v>
      </c>
      <c r="K1115">
        <v>74.099999999999994</v>
      </c>
      <c r="L1115" t="s">
        <v>20</v>
      </c>
      <c r="M1115">
        <f t="shared" si="51"/>
        <v>926.18</v>
      </c>
      <c r="N1115">
        <f t="shared" si="52"/>
        <v>0</v>
      </c>
      <c r="O1115">
        <f t="shared" si="53"/>
        <v>926.18</v>
      </c>
    </row>
    <row r="1116" spans="1:15" x14ac:dyDescent="0.2">
      <c r="A1116" t="s">
        <v>108</v>
      </c>
      <c r="B1116">
        <v>60564</v>
      </c>
      <c r="C1116" t="s">
        <v>13</v>
      </c>
      <c r="D1116" t="s">
        <v>18</v>
      </c>
      <c r="E1116" s="3">
        <v>44651</v>
      </c>
      <c r="F1116" t="s">
        <v>46</v>
      </c>
      <c r="G1116" s="2">
        <v>44848</v>
      </c>
      <c r="H1116" t="s">
        <v>109</v>
      </c>
      <c r="I1116" s="2">
        <v>44866</v>
      </c>
      <c r="J1116">
        <v>812.93</v>
      </c>
      <c r="K1116">
        <v>42.6</v>
      </c>
      <c r="L1116" t="s">
        <v>16</v>
      </c>
      <c r="M1116">
        <f t="shared" si="51"/>
        <v>0</v>
      </c>
      <c r="N1116">
        <f t="shared" si="52"/>
        <v>812.93</v>
      </c>
      <c r="O1116">
        <f t="shared" si="53"/>
        <v>-812.93</v>
      </c>
    </row>
    <row r="1117" spans="1:15" x14ac:dyDescent="0.2">
      <c r="A1117" t="s">
        <v>108</v>
      </c>
      <c r="B1117">
        <v>60564</v>
      </c>
      <c r="C1117" t="s">
        <v>13</v>
      </c>
      <c r="D1117" t="s">
        <v>18</v>
      </c>
      <c r="E1117" s="3">
        <v>44651</v>
      </c>
      <c r="F1117" t="s">
        <v>46</v>
      </c>
      <c r="G1117" s="2">
        <v>44848</v>
      </c>
      <c r="H1117" t="s">
        <v>109</v>
      </c>
      <c r="I1117" s="2">
        <v>44896</v>
      </c>
      <c r="J1117">
        <v>838</v>
      </c>
      <c r="K1117">
        <v>52.3</v>
      </c>
      <c r="L1117" t="s">
        <v>16</v>
      </c>
      <c r="M1117">
        <f t="shared" si="51"/>
        <v>0</v>
      </c>
      <c r="N1117">
        <f t="shared" si="52"/>
        <v>838</v>
      </c>
      <c r="O1117">
        <f t="shared" si="53"/>
        <v>-838</v>
      </c>
    </row>
    <row r="1118" spans="1:15" x14ac:dyDescent="0.2">
      <c r="A1118" t="s">
        <v>108</v>
      </c>
      <c r="B1118">
        <v>60564</v>
      </c>
      <c r="C1118" t="s">
        <v>13</v>
      </c>
      <c r="D1118" t="s">
        <v>18</v>
      </c>
      <c r="E1118" s="3">
        <v>44651</v>
      </c>
      <c r="F1118" t="s">
        <v>46</v>
      </c>
      <c r="G1118" s="2">
        <v>44848</v>
      </c>
      <c r="H1118" t="s">
        <v>109</v>
      </c>
      <c r="I1118" s="2">
        <v>44927</v>
      </c>
      <c r="J1118">
        <v>578.27</v>
      </c>
      <c r="K1118">
        <v>76.2</v>
      </c>
      <c r="L1118" t="s">
        <v>20</v>
      </c>
      <c r="M1118">
        <f t="shared" si="51"/>
        <v>0</v>
      </c>
      <c r="N1118">
        <f t="shared" si="52"/>
        <v>578.27</v>
      </c>
      <c r="O1118">
        <f t="shared" si="53"/>
        <v>-578.27</v>
      </c>
    </row>
    <row r="1119" spans="1:15" x14ac:dyDescent="0.2">
      <c r="A1119" t="s">
        <v>108</v>
      </c>
      <c r="B1119">
        <v>60564</v>
      </c>
      <c r="C1119" t="s">
        <v>13</v>
      </c>
      <c r="D1119" t="s">
        <v>18</v>
      </c>
      <c r="E1119" s="3">
        <v>44651</v>
      </c>
      <c r="F1119" t="s">
        <v>46</v>
      </c>
      <c r="G1119" s="2">
        <v>44848</v>
      </c>
      <c r="H1119" t="s">
        <v>109</v>
      </c>
      <c r="I1119" s="2">
        <v>44958</v>
      </c>
      <c r="J1119">
        <v>651.79999999999995</v>
      </c>
      <c r="K1119">
        <v>73.7</v>
      </c>
      <c r="L1119" t="s">
        <v>20</v>
      </c>
      <c r="M1119">
        <f t="shared" si="51"/>
        <v>0</v>
      </c>
      <c r="N1119">
        <f t="shared" si="52"/>
        <v>651.79999999999995</v>
      </c>
      <c r="O1119">
        <f t="shared" si="53"/>
        <v>-651.79999999999995</v>
      </c>
    </row>
    <row r="1120" spans="1:15" x14ac:dyDescent="0.2">
      <c r="A1120" t="s">
        <v>108</v>
      </c>
      <c r="B1120">
        <v>60564</v>
      </c>
      <c r="C1120" t="s">
        <v>13</v>
      </c>
      <c r="D1120" t="s">
        <v>18</v>
      </c>
      <c r="E1120" s="3">
        <v>44651</v>
      </c>
      <c r="F1120" t="s">
        <v>46</v>
      </c>
      <c r="G1120" s="2">
        <v>44848</v>
      </c>
      <c r="H1120" t="s">
        <v>109</v>
      </c>
      <c r="I1120" s="2">
        <v>44986</v>
      </c>
      <c r="J1120">
        <v>560.25</v>
      </c>
      <c r="K1120">
        <v>52.8</v>
      </c>
      <c r="L1120" t="s">
        <v>16</v>
      </c>
      <c r="M1120">
        <f t="shared" si="51"/>
        <v>0</v>
      </c>
      <c r="N1120">
        <f t="shared" si="52"/>
        <v>560.25</v>
      </c>
      <c r="O1120">
        <f t="shared" si="53"/>
        <v>-560.25</v>
      </c>
    </row>
    <row r="1121" spans="1:15" x14ac:dyDescent="0.2">
      <c r="A1121" t="s">
        <v>108</v>
      </c>
      <c r="B1121">
        <v>60564</v>
      </c>
      <c r="C1121" t="s">
        <v>13</v>
      </c>
      <c r="D1121" t="s">
        <v>18</v>
      </c>
      <c r="E1121" s="3">
        <v>44651</v>
      </c>
      <c r="F1121" t="s">
        <v>46</v>
      </c>
      <c r="G1121" s="2">
        <v>44848</v>
      </c>
      <c r="H1121" t="s">
        <v>109</v>
      </c>
      <c r="I1121" s="2">
        <v>45017</v>
      </c>
      <c r="J1121">
        <v>690.48</v>
      </c>
      <c r="K1121">
        <v>103.1</v>
      </c>
      <c r="L1121" t="s">
        <v>20</v>
      </c>
      <c r="M1121">
        <f t="shared" si="51"/>
        <v>0</v>
      </c>
      <c r="N1121">
        <f t="shared" si="52"/>
        <v>690.48</v>
      </c>
      <c r="O1121">
        <f t="shared" si="53"/>
        <v>-690.48</v>
      </c>
    </row>
    <row r="1122" spans="1:15" x14ac:dyDescent="0.2">
      <c r="A1122" t="s">
        <v>108</v>
      </c>
      <c r="B1122">
        <v>60564</v>
      </c>
      <c r="C1122" t="s">
        <v>13</v>
      </c>
      <c r="D1122" t="s">
        <v>18</v>
      </c>
      <c r="E1122" s="3">
        <v>44651</v>
      </c>
      <c r="F1122" t="s">
        <v>46</v>
      </c>
      <c r="G1122" s="2">
        <v>44848</v>
      </c>
      <c r="H1122" t="s">
        <v>109</v>
      </c>
      <c r="I1122" s="2">
        <v>45047</v>
      </c>
      <c r="J1122">
        <v>739.04</v>
      </c>
      <c r="K1122">
        <v>40.6</v>
      </c>
      <c r="L1122" t="s">
        <v>16</v>
      </c>
      <c r="M1122">
        <f t="shared" si="51"/>
        <v>0</v>
      </c>
      <c r="N1122">
        <f t="shared" si="52"/>
        <v>739.04</v>
      </c>
      <c r="O1122">
        <f t="shared" si="53"/>
        <v>-739.04</v>
      </c>
    </row>
    <row r="1123" spans="1:15" x14ac:dyDescent="0.2">
      <c r="A1123" t="s">
        <v>108</v>
      </c>
      <c r="B1123">
        <v>60564</v>
      </c>
      <c r="C1123" t="s">
        <v>13</v>
      </c>
      <c r="D1123" t="s">
        <v>18</v>
      </c>
      <c r="E1123" s="3">
        <v>44651</v>
      </c>
      <c r="F1123" t="s">
        <v>46</v>
      </c>
      <c r="G1123" s="2">
        <v>44848</v>
      </c>
      <c r="H1123" t="s">
        <v>109</v>
      </c>
      <c r="I1123" s="2">
        <v>45078</v>
      </c>
      <c r="J1123">
        <v>589</v>
      </c>
      <c r="K1123">
        <v>76</v>
      </c>
      <c r="L1123" t="s">
        <v>20</v>
      </c>
      <c r="M1123">
        <f t="shared" si="51"/>
        <v>0</v>
      </c>
      <c r="N1123">
        <f t="shared" si="52"/>
        <v>589</v>
      </c>
      <c r="O1123">
        <f t="shared" si="53"/>
        <v>-589</v>
      </c>
    </row>
    <row r="1124" spans="1:15" x14ac:dyDescent="0.2">
      <c r="A1124" t="s">
        <v>108</v>
      </c>
      <c r="B1124">
        <v>60564</v>
      </c>
      <c r="C1124" t="s">
        <v>13</v>
      </c>
      <c r="D1124" t="s">
        <v>18</v>
      </c>
      <c r="E1124" s="3">
        <v>44651</v>
      </c>
      <c r="F1124" t="s">
        <v>46</v>
      </c>
      <c r="G1124" s="2">
        <v>44848</v>
      </c>
      <c r="H1124" t="s">
        <v>109</v>
      </c>
      <c r="I1124" s="2">
        <v>45108</v>
      </c>
      <c r="J1124">
        <v>904.92</v>
      </c>
      <c r="K1124">
        <v>38.9</v>
      </c>
      <c r="L1124" t="s">
        <v>19</v>
      </c>
      <c r="M1124">
        <f t="shared" si="51"/>
        <v>0</v>
      </c>
      <c r="N1124">
        <f t="shared" si="52"/>
        <v>904.92</v>
      </c>
      <c r="O1124">
        <f t="shared" si="53"/>
        <v>-904.92</v>
      </c>
    </row>
    <row r="1125" spans="1:15" x14ac:dyDescent="0.2">
      <c r="A1125" t="s">
        <v>108</v>
      </c>
      <c r="B1125">
        <v>60564</v>
      </c>
      <c r="C1125" t="s">
        <v>13</v>
      </c>
      <c r="D1125" t="s">
        <v>18</v>
      </c>
      <c r="E1125" s="3">
        <v>44651</v>
      </c>
      <c r="F1125" t="s">
        <v>46</v>
      </c>
      <c r="G1125" s="2">
        <v>44848</v>
      </c>
      <c r="H1125" t="s">
        <v>109</v>
      </c>
      <c r="I1125" s="2">
        <v>45139</v>
      </c>
      <c r="J1125">
        <v>727.81</v>
      </c>
      <c r="K1125">
        <v>80</v>
      </c>
      <c r="L1125" t="s">
        <v>20</v>
      </c>
      <c r="M1125">
        <f t="shared" si="51"/>
        <v>0</v>
      </c>
      <c r="N1125">
        <f t="shared" si="52"/>
        <v>727.81</v>
      </c>
      <c r="O1125">
        <f t="shared" si="53"/>
        <v>-727.81</v>
      </c>
    </row>
    <row r="1126" spans="1:15" x14ac:dyDescent="0.2">
      <c r="A1126" t="s">
        <v>108</v>
      </c>
      <c r="B1126">
        <v>60564</v>
      </c>
      <c r="C1126" t="s">
        <v>13</v>
      </c>
      <c r="D1126" t="s">
        <v>18</v>
      </c>
      <c r="E1126" s="3">
        <v>44651</v>
      </c>
      <c r="F1126" t="s">
        <v>46</v>
      </c>
      <c r="G1126" s="2">
        <v>44848</v>
      </c>
      <c r="H1126" t="s">
        <v>109</v>
      </c>
      <c r="I1126" s="2">
        <v>45170</v>
      </c>
      <c r="J1126">
        <v>705.78</v>
      </c>
      <c r="K1126">
        <v>84.9</v>
      </c>
      <c r="L1126" t="s">
        <v>20</v>
      </c>
      <c r="M1126">
        <f t="shared" si="51"/>
        <v>0</v>
      </c>
      <c r="N1126">
        <f t="shared" si="52"/>
        <v>705.78</v>
      </c>
      <c r="O1126">
        <f t="shared" si="53"/>
        <v>-705.78</v>
      </c>
    </row>
    <row r="1127" spans="1:15" x14ac:dyDescent="0.2">
      <c r="A1127" t="s">
        <v>108</v>
      </c>
      <c r="B1127">
        <v>60564</v>
      </c>
      <c r="C1127" t="s">
        <v>13</v>
      </c>
      <c r="D1127" t="s">
        <v>18</v>
      </c>
      <c r="E1127" s="3">
        <v>44651</v>
      </c>
      <c r="F1127" t="s">
        <v>46</v>
      </c>
      <c r="G1127" s="2">
        <v>44848</v>
      </c>
      <c r="H1127" t="s">
        <v>109</v>
      </c>
      <c r="I1127" s="2">
        <v>45200</v>
      </c>
      <c r="J1127">
        <v>776.97</v>
      </c>
      <c r="K1127">
        <v>80.8</v>
      </c>
      <c r="L1127" t="s">
        <v>20</v>
      </c>
      <c r="M1127">
        <f t="shared" si="51"/>
        <v>0</v>
      </c>
      <c r="N1127">
        <f t="shared" si="52"/>
        <v>776.97</v>
      </c>
      <c r="O1127">
        <f t="shared" si="53"/>
        <v>-776.97</v>
      </c>
    </row>
    <row r="1128" spans="1:15" x14ac:dyDescent="0.2">
      <c r="A1128" t="s">
        <v>108</v>
      </c>
      <c r="B1128">
        <v>60564</v>
      </c>
      <c r="C1128" t="s">
        <v>13</v>
      </c>
      <c r="D1128" t="s">
        <v>18</v>
      </c>
      <c r="E1128" s="3">
        <v>44651</v>
      </c>
      <c r="F1128" t="s">
        <v>46</v>
      </c>
      <c r="G1128" s="2">
        <v>44848</v>
      </c>
      <c r="H1128" t="s">
        <v>109</v>
      </c>
      <c r="I1128" s="2">
        <v>45231</v>
      </c>
      <c r="J1128">
        <v>617.11</v>
      </c>
      <c r="K1128">
        <v>46.5</v>
      </c>
      <c r="L1128" t="s">
        <v>16</v>
      </c>
      <c r="M1128">
        <f t="shared" si="51"/>
        <v>0</v>
      </c>
      <c r="N1128">
        <f t="shared" si="52"/>
        <v>617.11</v>
      </c>
      <c r="O1128">
        <f t="shared" si="53"/>
        <v>-617.11</v>
      </c>
    </row>
    <row r="1129" spans="1:15" x14ac:dyDescent="0.2">
      <c r="A1129" t="s">
        <v>108</v>
      </c>
      <c r="B1129">
        <v>60564</v>
      </c>
      <c r="C1129" t="s">
        <v>13</v>
      </c>
      <c r="D1129" t="s">
        <v>18</v>
      </c>
      <c r="E1129" s="3">
        <v>44651</v>
      </c>
      <c r="F1129" t="s">
        <v>46</v>
      </c>
      <c r="G1129" s="2">
        <v>44848</v>
      </c>
      <c r="H1129" t="s">
        <v>109</v>
      </c>
      <c r="I1129" s="2">
        <v>45261</v>
      </c>
      <c r="J1129">
        <v>716.35</v>
      </c>
      <c r="K1129">
        <v>29.2</v>
      </c>
      <c r="L1129" t="s">
        <v>19</v>
      </c>
      <c r="M1129">
        <f t="shared" si="51"/>
        <v>0</v>
      </c>
      <c r="N1129">
        <f t="shared" si="52"/>
        <v>716.35</v>
      </c>
      <c r="O1129">
        <f t="shared" si="53"/>
        <v>-716.35</v>
      </c>
    </row>
    <row r="1130" spans="1:15" x14ac:dyDescent="0.2">
      <c r="A1130" t="s">
        <v>110</v>
      </c>
      <c r="B1130">
        <v>60563</v>
      </c>
      <c r="C1130" t="s">
        <v>13</v>
      </c>
      <c r="D1130" t="s">
        <v>18</v>
      </c>
      <c r="E1130" s="3">
        <v>44680</v>
      </c>
      <c r="F1130" t="s">
        <v>46</v>
      </c>
      <c r="G1130" s="2">
        <v>44945</v>
      </c>
      <c r="H1130" t="s">
        <v>111</v>
      </c>
      <c r="I1130" s="2">
        <v>44562</v>
      </c>
      <c r="J1130">
        <v>719.4</v>
      </c>
      <c r="K1130">
        <v>43</v>
      </c>
      <c r="L1130" t="s">
        <v>16</v>
      </c>
      <c r="M1130">
        <f t="shared" si="51"/>
        <v>719.4</v>
      </c>
      <c r="N1130">
        <f t="shared" si="52"/>
        <v>0</v>
      </c>
      <c r="O1130">
        <f t="shared" si="53"/>
        <v>719.4</v>
      </c>
    </row>
    <row r="1131" spans="1:15" x14ac:dyDescent="0.2">
      <c r="A1131" t="s">
        <v>110</v>
      </c>
      <c r="B1131">
        <v>60563</v>
      </c>
      <c r="C1131" t="s">
        <v>13</v>
      </c>
      <c r="D1131" t="s">
        <v>18</v>
      </c>
      <c r="E1131" s="3">
        <v>44680</v>
      </c>
      <c r="F1131" t="s">
        <v>46</v>
      </c>
      <c r="G1131" s="2">
        <v>44945</v>
      </c>
      <c r="H1131" t="s">
        <v>111</v>
      </c>
      <c r="I1131" s="2">
        <v>44593</v>
      </c>
      <c r="J1131">
        <v>779.92</v>
      </c>
      <c r="K1131">
        <v>26.4</v>
      </c>
      <c r="L1131" t="s">
        <v>19</v>
      </c>
      <c r="M1131">
        <f t="shared" si="51"/>
        <v>779.92</v>
      </c>
      <c r="N1131">
        <f t="shared" si="52"/>
        <v>0</v>
      </c>
      <c r="O1131">
        <f t="shared" si="53"/>
        <v>779.92</v>
      </c>
    </row>
    <row r="1132" spans="1:15" x14ac:dyDescent="0.2">
      <c r="A1132" t="s">
        <v>110</v>
      </c>
      <c r="B1132">
        <v>60563</v>
      </c>
      <c r="C1132" t="s">
        <v>13</v>
      </c>
      <c r="D1132" t="s">
        <v>18</v>
      </c>
      <c r="E1132" s="3">
        <v>44680</v>
      </c>
      <c r="F1132" t="s">
        <v>46</v>
      </c>
      <c r="G1132" s="2">
        <v>44945</v>
      </c>
      <c r="H1132" t="s">
        <v>111</v>
      </c>
      <c r="I1132" s="2">
        <v>44621</v>
      </c>
      <c r="J1132">
        <v>828.7</v>
      </c>
      <c r="K1132">
        <v>29.5</v>
      </c>
      <c r="L1132" t="s">
        <v>19</v>
      </c>
      <c r="M1132">
        <f t="shared" si="51"/>
        <v>828.7</v>
      </c>
      <c r="N1132">
        <f t="shared" si="52"/>
        <v>0</v>
      </c>
      <c r="O1132">
        <f t="shared" si="53"/>
        <v>828.7</v>
      </c>
    </row>
    <row r="1133" spans="1:15" x14ac:dyDescent="0.2">
      <c r="A1133" t="s">
        <v>110</v>
      </c>
      <c r="B1133">
        <v>60563</v>
      </c>
      <c r="C1133" t="s">
        <v>13</v>
      </c>
      <c r="D1133" t="s">
        <v>18</v>
      </c>
      <c r="E1133" s="3">
        <v>44680</v>
      </c>
      <c r="F1133" t="s">
        <v>46</v>
      </c>
      <c r="G1133" s="2">
        <v>44945</v>
      </c>
      <c r="H1133" t="s">
        <v>111</v>
      </c>
      <c r="I1133" s="2">
        <v>44652</v>
      </c>
      <c r="J1133">
        <v>591.48</v>
      </c>
      <c r="K1133">
        <v>50.8</v>
      </c>
      <c r="L1133" t="s">
        <v>16</v>
      </c>
      <c r="M1133">
        <f t="shared" si="51"/>
        <v>591.48</v>
      </c>
      <c r="N1133">
        <f t="shared" si="52"/>
        <v>0</v>
      </c>
      <c r="O1133">
        <f t="shared" si="53"/>
        <v>591.48</v>
      </c>
    </row>
    <row r="1134" spans="1:15" x14ac:dyDescent="0.2">
      <c r="A1134" t="s">
        <v>110</v>
      </c>
      <c r="B1134">
        <v>60563</v>
      </c>
      <c r="C1134" t="s">
        <v>13</v>
      </c>
      <c r="D1134" t="s">
        <v>18</v>
      </c>
      <c r="E1134" s="3">
        <v>44680</v>
      </c>
      <c r="F1134" t="s">
        <v>46</v>
      </c>
      <c r="G1134" s="2">
        <v>44945</v>
      </c>
      <c r="H1134" t="s">
        <v>111</v>
      </c>
      <c r="I1134" s="2">
        <v>44682</v>
      </c>
      <c r="J1134">
        <v>613.87</v>
      </c>
      <c r="K1134">
        <v>46.3</v>
      </c>
      <c r="L1134" t="s">
        <v>16</v>
      </c>
      <c r="M1134">
        <f t="shared" si="51"/>
        <v>613.87</v>
      </c>
      <c r="N1134">
        <f t="shared" si="52"/>
        <v>0</v>
      </c>
      <c r="O1134">
        <f t="shared" si="53"/>
        <v>613.87</v>
      </c>
    </row>
    <row r="1135" spans="1:15" x14ac:dyDescent="0.2">
      <c r="A1135" t="s">
        <v>110</v>
      </c>
      <c r="B1135">
        <v>60563</v>
      </c>
      <c r="C1135" t="s">
        <v>13</v>
      </c>
      <c r="D1135" t="s">
        <v>18</v>
      </c>
      <c r="E1135" s="3">
        <v>44680</v>
      </c>
      <c r="F1135" t="s">
        <v>46</v>
      </c>
      <c r="G1135" s="2">
        <v>44945</v>
      </c>
      <c r="H1135" t="s">
        <v>111</v>
      </c>
      <c r="I1135" s="2">
        <v>44713</v>
      </c>
      <c r="J1135">
        <v>770.03</v>
      </c>
      <c r="K1135">
        <v>61.1</v>
      </c>
      <c r="L1135" t="s">
        <v>16</v>
      </c>
      <c r="M1135">
        <f t="shared" si="51"/>
        <v>770.03</v>
      </c>
      <c r="N1135">
        <f t="shared" si="52"/>
        <v>0</v>
      </c>
      <c r="O1135">
        <f t="shared" si="53"/>
        <v>770.03</v>
      </c>
    </row>
    <row r="1136" spans="1:15" x14ac:dyDescent="0.2">
      <c r="A1136" t="s">
        <v>110</v>
      </c>
      <c r="B1136">
        <v>60563</v>
      </c>
      <c r="C1136" t="s">
        <v>13</v>
      </c>
      <c r="D1136" t="s">
        <v>18</v>
      </c>
      <c r="E1136" s="3">
        <v>44680</v>
      </c>
      <c r="F1136" t="s">
        <v>46</v>
      </c>
      <c r="G1136" s="2">
        <v>44945</v>
      </c>
      <c r="H1136" t="s">
        <v>111</v>
      </c>
      <c r="I1136" s="2">
        <v>44743</v>
      </c>
      <c r="J1136">
        <v>845.46</v>
      </c>
      <c r="K1136">
        <v>27.4</v>
      </c>
      <c r="L1136" t="s">
        <v>19</v>
      </c>
      <c r="M1136">
        <f t="shared" si="51"/>
        <v>845.46</v>
      </c>
      <c r="N1136">
        <f t="shared" si="52"/>
        <v>0</v>
      </c>
      <c r="O1136">
        <f t="shared" si="53"/>
        <v>845.46</v>
      </c>
    </row>
    <row r="1137" spans="1:15" x14ac:dyDescent="0.2">
      <c r="A1137" t="s">
        <v>110</v>
      </c>
      <c r="B1137">
        <v>60563</v>
      </c>
      <c r="C1137" t="s">
        <v>13</v>
      </c>
      <c r="D1137" t="s">
        <v>18</v>
      </c>
      <c r="E1137" s="3">
        <v>44680</v>
      </c>
      <c r="F1137" t="s">
        <v>46</v>
      </c>
      <c r="G1137" s="2">
        <v>44945</v>
      </c>
      <c r="H1137" t="s">
        <v>111</v>
      </c>
      <c r="I1137" s="2">
        <v>44774</v>
      </c>
      <c r="J1137">
        <v>874.4</v>
      </c>
      <c r="K1137">
        <v>54.2</v>
      </c>
      <c r="L1137" t="s">
        <v>16</v>
      </c>
      <c r="M1137">
        <f t="shared" si="51"/>
        <v>874.4</v>
      </c>
      <c r="N1137">
        <f t="shared" si="52"/>
        <v>0</v>
      </c>
      <c r="O1137">
        <f t="shared" si="53"/>
        <v>874.4</v>
      </c>
    </row>
    <row r="1138" spans="1:15" x14ac:dyDescent="0.2">
      <c r="A1138" t="s">
        <v>110</v>
      </c>
      <c r="B1138">
        <v>60563</v>
      </c>
      <c r="C1138" t="s">
        <v>13</v>
      </c>
      <c r="D1138" t="s">
        <v>18</v>
      </c>
      <c r="E1138" s="3">
        <v>44680</v>
      </c>
      <c r="F1138" t="s">
        <v>46</v>
      </c>
      <c r="G1138" s="2">
        <v>44945</v>
      </c>
      <c r="H1138" t="s">
        <v>111</v>
      </c>
      <c r="I1138" s="2">
        <v>44805</v>
      </c>
      <c r="J1138">
        <v>640.87</v>
      </c>
      <c r="K1138">
        <v>41.9</v>
      </c>
      <c r="L1138" t="s">
        <v>16</v>
      </c>
      <c r="M1138">
        <f t="shared" si="51"/>
        <v>640.87</v>
      </c>
      <c r="N1138">
        <f t="shared" si="52"/>
        <v>0</v>
      </c>
      <c r="O1138">
        <f t="shared" si="53"/>
        <v>640.87</v>
      </c>
    </row>
    <row r="1139" spans="1:15" x14ac:dyDescent="0.2">
      <c r="A1139" t="s">
        <v>110</v>
      </c>
      <c r="B1139">
        <v>60563</v>
      </c>
      <c r="C1139" t="s">
        <v>13</v>
      </c>
      <c r="D1139" t="s">
        <v>18</v>
      </c>
      <c r="E1139" s="3">
        <v>44680</v>
      </c>
      <c r="F1139" t="s">
        <v>46</v>
      </c>
      <c r="G1139" s="2">
        <v>44945</v>
      </c>
      <c r="H1139" t="s">
        <v>111</v>
      </c>
      <c r="I1139" s="2">
        <v>44835</v>
      </c>
      <c r="J1139">
        <v>863.66</v>
      </c>
      <c r="K1139">
        <v>74.099999999999994</v>
      </c>
      <c r="L1139" t="s">
        <v>20</v>
      </c>
      <c r="M1139">
        <f t="shared" si="51"/>
        <v>863.66</v>
      </c>
      <c r="N1139">
        <f t="shared" si="52"/>
        <v>0</v>
      </c>
      <c r="O1139">
        <f t="shared" si="53"/>
        <v>863.66</v>
      </c>
    </row>
    <row r="1140" spans="1:15" x14ac:dyDescent="0.2">
      <c r="A1140" t="s">
        <v>110</v>
      </c>
      <c r="B1140">
        <v>60563</v>
      </c>
      <c r="C1140" t="s">
        <v>13</v>
      </c>
      <c r="D1140" t="s">
        <v>18</v>
      </c>
      <c r="E1140" s="3">
        <v>44680</v>
      </c>
      <c r="F1140" t="s">
        <v>46</v>
      </c>
      <c r="G1140" s="2">
        <v>44945</v>
      </c>
      <c r="H1140" t="s">
        <v>111</v>
      </c>
      <c r="I1140" s="2">
        <v>44866</v>
      </c>
      <c r="J1140">
        <v>775.49</v>
      </c>
      <c r="K1140">
        <v>42.6</v>
      </c>
      <c r="L1140" t="s">
        <v>16</v>
      </c>
      <c r="M1140">
        <f t="shared" si="51"/>
        <v>775.49</v>
      </c>
      <c r="N1140">
        <f t="shared" si="52"/>
        <v>0</v>
      </c>
      <c r="O1140">
        <f t="shared" si="53"/>
        <v>775.49</v>
      </c>
    </row>
    <row r="1141" spans="1:15" x14ac:dyDescent="0.2">
      <c r="A1141" t="s">
        <v>110</v>
      </c>
      <c r="B1141">
        <v>60563</v>
      </c>
      <c r="C1141" t="s">
        <v>13</v>
      </c>
      <c r="D1141" t="s">
        <v>18</v>
      </c>
      <c r="E1141" s="3">
        <v>44680</v>
      </c>
      <c r="F1141" t="s">
        <v>46</v>
      </c>
      <c r="G1141" s="2">
        <v>44945</v>
      </c>
      <c r="H1141" t="s">
        <v>111</v>
      </c>
      <c r="I1141" s="2">
        <v>44896</v>
      </c>
      <c r="J1141">
        <v>711.68</v>
      </c>
      <c r="K1141">
        <v>52.3</v>
      </c>
      <c r="L1141" t="s">
        <v>16</v>
      </c>
      <c r="M1141">
        <f t="shared" si="51"/>
        <v>711.68</v>
      </c>
      <c r="N1141">
        <f t="shared" si="52"/>
        <v>0</v>
      </c>
      <c r="O1141">
        <f t="shared" si="53"/>
        <v>711.68</v>
      </c>
    </row>
    <row r="1142" spans="1:15" x14ac:dyDescent="0.2">
      <c r="A1142" t="s">
        <v>110</v>
      </c>
      <c r="B1142">
        <v>60563</v>
      </c>
      <c r="C1142" t="s">
        <v>13</v>
      </c>
      <c r="D1142" t="s">
        <v>18</v>
      </c>
      <c r="E1142" s="3">
        <v>44680</v>
      </c>
      <c r="F1142" t="s">
        <v>46</v>
      </c>
      <c r="G1142" s="2">
        <v>44945</v>
      </c>
      <c r="H1142" t="s">
        <v>111</v>
      </c>
      <c r="I1142" s="2">
        <v>44927</v>
      </c>
      <c r="J1142">
        <v>635.14</v>
      </c>
      <c r="K1142">
        <v>76.2</v>
      </c>
      <c r="L1142" t="s">
        <v>20</v>
      </c>
      <c r="M1142">
        <f t="shared" si="51"/>
        <v>635.14</v>
      </c>
      <c r="N1142">
        <f t="shared" si="52"/>
        <v>0</v>
      </c>
      <c r="O1142">
        <f t="shared" si="53"/>
        <v>635.14</v>
      </c>
    </row>
    <row r="1143" spans="1:15" x14ac:dyDescent="0.2">
      <c r="A1143" t="s">
        <v>110</v>
      </c>
      <c r="B1143">
        <v>60563</v>
      </c>
      <c r="C1143" t="s">
        <v>13</v>
      </c>
      <c r="D1143" t="s">
        <v>18</v>
      </c>
      <c r="E1143" s="3">
        <v>44680</v>
      </c>
      <c r="F1143" t="s">
        <v>46</v>
      </c>
      <c r="G1143" s="2">
        <v>44945</v>
      </c>
      <c r="H1143" t="s">
        <v>111</v>
      </c>
      <c r="I1143" s="2">
        <v>44958</v>
      </c>
      <c r="J1143">
        <v>780.19</v>
      </c>
      <c r="K1143">
        <v>73.7</v>
      </c>
      <c r="L1143" t="s">
        <v>20</v>
      </c>
      <c r="M1143">
        <f t="shared" si="51"/>
        <v>0</v>
      </c>
      <c r="N1143">
        <f t="shared" si="52"/>
        <v>780.19</v>
      </c>
      <c r="O1143">
        <f t="shared" si="53"/>
        <v>-780.19</v>
      </c>
    </row>
    <row r="1144" spans="1:15" x14ac:dyDescent="0.2">
      <c r="A1144" t="s">
        <v>110</v>
      </c>
      <c r="B1144">
        <v>60563</v>
      </c>
      <c r="C1144" t="s">
        <v>13</v>
      </c>
      <c r="D1144" t="s">
        <v>18</v>
      </c>
      <c r="E1144" s="3">
        <v>44680</v>
      </c>
      <c r="F1144" t="s">
        <v>46</v>
      </c>
      <c r="G1144" s="2">
        <v>44945</v>
      </c>
      <c r="H1144" t="s">
        <v>111</v>
      </c>
      <c r="I1144" s="2">
        <v>44986</v>
      </c>
      <c r="J1144">
        <v>727.4</v>
      </c>
      <c r="K1144">
        <v>52.8</v>
      </c>
      <c r="L1144" t="s">
        <v>16</v>
      </c>
      <c r="M1144">
        <f t="shared" si="51"/>
        <v>0</v>
      </c>
      <c r="N1144">
        <f t="shared" si="52"/>
        <v>727.4</v>
      </c>
      <c r="O1144">
        <f t="shared" si="53"/>
        <v>-727.4</v>
      </c>
    </row>
    <row r="1145" spans="1:15" x14ac:dyDescent="0.2">
      <c r="A1145" t="s">
        <v>110</v>
      </c>
      <c r="B1145">
        <v>60563</v>
      </c>
      <c r="C1145" t="s">
        <v>13</v>
      </c>
      <c r="D1145" t="s">
        <v>18</v>
      </c>
      <c r="E1145" s="3">
        <v>44680</v>
      </c>
      <c r="F1145" t="s">
        <v>46</v>
      </c>
      <c r="G1145" s="2">
        <v>44945</v>
      </c>
      <c r="H1145" t="s">
        <v>111</v>
      </c>
      <c r="I1145" s="2">
        <v>45017</v>
      </c>
      <c r="J1145">
        <v>705.03</v>
      </c>
      <c r="K1145">
        <v>103.1</v>
      </c>
      <c r="L1145" t="s">
        <v>20</v>
      </c>
      <c r="M1145">
        <f t="shared" si="51"/>
        <v>0</v>
      </c>
      <c r="N1145">
        <f t="shared" si="52"/>
        <v>705.03</v>
      </c>
      <c r="O1145">
        <f t="shared" si="53"/>
        <v>-705.03</v>
      </c>
    </row>
    <row r="1146" spans="1:15" x14ac:dyDescent="0.2">
      <c r="A1146" t="s">
        <v>110</v>
      </c>
      <c r="B1146">
        <v>60563</v>
      </c>
      <c r="C1146" t="s">
        <v>13</v>
      </c>
      <c r="D1146" t="s">
        <v>18</v>
      </c>
      <c r="E1146" s="3">
        <v>44680</v>
      </c>
      <c r="F1146" t="s">
        <v>46</v>
      </c>
      <c r="G1146" s="2">
        <v>44945</v>
      </c>
      <c r="H1146" t="s">
        <v>111</v>
      </c>
      <c r="I1146" s="2">
        <v>45047</v>
      </c>
      <c r="J1146">
        <v>724.35</v>
      </c>
      <c r="K1146">
        <v>40.6</v>
      </c>
      <c r="L1146" t="s">
        <v>16</v>
      </c>
      <c r="M1146">
        <f t="shared" si="51"/>
        <v>0</v>
      </c>
      <c r="N1146">
        <f t="shared" si="52"/>
        <v>724.35</v>
      </c>
      <c r="O1146">
        <f t="shared" si="53"/>
        <v>-724.35</v>
      </c>
    </row>
    <row r="1147" spans="1:15" x14ac:dyDescent="0.2">
      <c r="A1147" t="s">
        <v>110</v>
      </c>
      <c r="B1147">
        <v>60563</v>
      </c>
      <c r="C1147" t="s">
        <v>13</v>
      </c>
      <c r="D1147" t="s">
        <v>18</v>
      </c>
      <c r="E1147" s="3">
        <v>44680</v>
      </c>
      <c r="F1147" t="s">
        <v>46</v>
      </c>
      <c r="G1147" s="2">
        <v>44945</v>
      </c>
      <c r="H1147" t="s">
        <v>111</v>
      </c>
      <c r="I1147" s="2">
        <v>45078</v>
      </c>
      <c r="J1147">
        <v>792.81</v>
      </c>
      <c r="K1147">
        <v>76</v>
      </c>
      <c r="L1147" t="s">
        <v>20</v>
      </c>
      <c r="M1147">
        <f t="shared" si="51"/>
        <v>0</v>
      </c>
      <c r="N1147">
        <f t="shared" si="52"/>
        <v>792.81</v>
      </c>
      <c r="O1147">
        <f t="shared" si="53"/>
        <v>-792.81</v>
      </c>
    </row>
    <row r="1148" spans="1:15" x14ac:dyDescent="0.2">
      <c r="A1148" t="s">
        <v>110</v>
      </c>
      <c r="B1148">
        <v>60563</v>
      </c>
      <c r="C1148" t="s">
        <v>13</v>
      </c>
      <c r="D1148" t="s">
        <v>18</v>
      </c>
      <c r="E1148" s="3">
        <v>44680</v>
      </c>
      <c r="F1148" t="s">
        <v>46</v>
      </c>
      <c r="G1148" s="2">
        <v>44945</v>
      </c>
      <c r="H1148" t="s">
        <v>111</v>
      </c>
      <c r="I1148" s="2">
        <v>45108</v>
      </c>
      <c r="J1148">
        <v>690.29</v>
      </c>
      <c r="K1148">
        <v>38.9</v>
      </c>
      <c r="L1148" t="s">
        <v>19</v>
      </c>
      <c r="M1148">
        <f t="shared" si="51"/>
        <v>0</v>
      </c>
      <c r="N1148">
        <f t="shared" si="52"/>
        <v>690.29</v>
      </c>
      <c r="O1148">
        <f t="shared" si="53"/>
        <v>-690.29</v>
      </c>
    </row>
    <row r="1149" spans="1:15" x14ac:dyDescent="0.2">
      <c r="A1149" t="s">
        <v>110</v>
      </c>
      <c r="B1149">
        <v>60563</v>
      </c>
      <c r="C1149" t="s">
        <v>13</v>
      </c>
      <c r="D1149" t="s">
        <v>18</v>
      </c>
      <c r="E1149" s="3">
        <v>44680</v>
      </c>
      <c r="F1149" t="s">
        <v>46</v>
      </c>
      <c r="G1149" s="2">
        <v>44945</v>
      </c>
      <c r="H1149" t="s">
        <v>111</v>
      </c>
      <c r="I1149" s="2">
        <v>45139</v>
      </c>
      <c r="J1149">
        <v>705.43</v>
      </c>
      <c r="K1149">
        <v>80</v>
      </c>
      <c r="L1149" t="s">
        <v>20</v>
      </c>
      <c r="M1149">
        <f t="shared" si="51"/>
        <v>0</v>
      </c>
      <c r="N1149">
        <f t="shared" si="52"/>
        <v>705.43</v>
      </c>
      <c r="O1149">
        <f t="shared" si="53"/>
        <v>-705.43</v>
      </c>
    </row>
    <row r="1150" spans="1:15" x14ac:dyDescent="0.2">
      <c r="A1150" t="s">
        <v>110</v>
      </c>
      <c r="B1150">
        <v>60563</v>
      </c>
      <c r="C1150" t="s">
        <v>13</v>
      </c>
      <c r="D1150" t="s">
        <v>18</v>
      </c>
      <c r="E1150" s="3">
        <v>44680</v>
      </c>
      <c r="F1150" t="s">
        <v>46</v>
      </c>
      <c r="G1150" s="2">
        <v>44945</v>
      </c>
      <c r="H1150" t="s">
        <v>111</v>
      </c>
      <c r="I1150" s="2">
        <v>45170</v>
      </c>
      <c r="J1150">
        <v>813.82</v>
      </c>
      <c r="K1150">
        <v>84.9</v>
      </c>
      <c r="L1150" t="s">
        <v>20</v>
      </c>
      <c r="M1150">
        <f t="shared" si="51"/>
        <v>0</v>
      </c>
      <c r="N1150">
        <f t="shared" si="52"/>
        <v>813.82</v>
      </c>
      <c r="O1150">
        <f t="shared" si="53"/>
        <v>-813.82</v>
      </c>
    </row>
    <row r="1151" spans="1:15" x14ac:dyDescent="0.2">
      <c r="A1151" t="s">
        <v>110</v>
      </c>
      <c r="B1151">
        <v>60563</v>
      </c>
      <c r="C1151" t="s">
        <v>13</v>
      </c>
      <c r="D1151" t="s">
        <v>18</v>
      </c>
      <c r="E1151" s="3">
        <v>44680</v>
      </c>
      <c r="F1151" t="s">
        <v>46</v>
      </c>
      <c r="G1151" s="2">
        <v>44945</v>
      </c>
      <c r="H1151" t="s">
        <v>111</v>
      </c>
      <c r="I1151" s="2">
        <v>45200</v>
      </c>
      <c r="J1151">
        <v>666.84</v>
      </c>
      <c r="K1151">
        <v>80.8</v>
      </c>
      <c r="L1151" t="s">
        <v>20</v>
      </c>
      <c r="M1151">
        <f t="shared" si="51"/>
        <v>0</v>
      </c>
      <c r="N1151">
        <f t="shared" si="52"/>
        <v>666.84</v>
      </c>
      <c r="O1151">
        <f t="shared" si="53"/>
        <v>-666.84</v>
      </c>
    </row>
    <row r="1152" spans="1:15" x14ac:dyDescent="0.2">
      <c r="A1152" t="s">
        <v>110</v>
      </c>
      <c r="B1152">
        <v>60563</v>
      </c>
      <c r="C1152" t="s">
        <v>13</v>
      </c>
      <c r="D1152" t="s">
        <v>18</v>
      </c>
      <c r="E1152" s="3">
        <v>44680</v>
      </c>
      <c r="F1152" t="s">
        <v>46</v>
      </c>
      <c r="G1152" s="2">
        <v>44945</v>
      </c>
      <c r="H1152" t="s">
        <v>111</v>
      </c>
      <c r="I1152" s="2">
        <v>45231</v>
      </c>
      <c r="J1152">
        <v>761.81</v>
      </c>
      <c r="K1152">
        <v>46.5</v>
      </c>
      <c r="L1152" t="s">
        <v>16</v>
      </c>
      <c r="M1152">
        <f t="shared" si="51"/>
        <v>0</v>
      </c>
      <c r="N1152">
        <f t="shared" si="52"/>
        <v>761.81</v>
      </c>
      <c r="O1152">
        <f t="shared" si="53"/>
        <v>-761.81</v>
      </c>
    </row>
    <row r="1153" spans="1:15" x14ac:dyDescent="0.2">
      <c r="A1153" t="s">
        <v>110</v>
      </c>
      <c r="B1153">
        <v>60563</v>
      </c>
      <c r="C1153" t="s">
        <v>13</v>
      </c>
      <c r="D1153" t="s">
        <v>18</v>
      </c>
      <c r="E1153" s="3">
        <v>44680</v>
      </c>
      <c r="F1153" t="s">
        <v>46</v>
      </c>
      <c r="G1153" s="2">
        <v>44945</v>
      </c>
      <c r="H1153" t="s">
        <v>111</v>
      </c>
      <c r="I1153" s="2">
        <v>45261</v>
      </c>
      <c r="J1153">
        <v>649.63</v>
      </c>
      <c r="K1153">
        <v>29.2</v>
      </c>
      <c r="L1153" t="s">
        <v>19</v>
      </c>
      <c r="M1153">
        <f t="shared" si="51"/>
        <v>0</v>
      </c>
      <c r="N1153">
        <f t="shared" si="52"/>
        <v>649.63</v>
      </c>
      <c r="O1153">
        <f t="shared" si="53"/>
        <v>-649.63</v>
      </c>
    </row>
    <row r="1154" spans="1:15" x14ac:dyDescent="0.2">
      <c r="A1154" t="s">
        <v>112</v>
      </c>
      <c r="B1154">
        <v>60563</v>
      </c>
      <c r="C1154" t="s">
        <v>13</v>
      </c>
      <c r="D1154" t="s">
        <v>18</v>
      </c>
      <c r="E1154" s="3">
        <v>44690</v>
      </c>
      <c r="F1154" t="s">
        <v>46</v>
      </c>
      <c r="G1154" s="2">
        <v>44999</v>
      </c>
      <c r="H1154" t="s">
        <v>113</v>
      </c>
      <c r="I1154" s="2">
        <v>44562</v>
      </c>
      <c r="J1154">
        <v>947.59</v>
      </c>
      <c r="K1154">
        <v>43</v>
      </c>
      <c r="L1154" t="s">
        <v>16</v>
      </c>
      <c r="M1154">
        <f t="shared" ref="M1154:M1201" si="54">SUMIFS(J1154,I1154, "&lt;" &amp;G1154,I1154,"&lt;&gt;",G1154,"&lt;&gt;")</f>
        <v>947.59</v>
      </c>
      <c r="N1154">
        <f t="shared" ref="N1154:N1201" si="55">SUMIFS(J1154,I1154, "&gt;=" &amp;G1154,I1154,"&lt;&gt;",G1154,"&lt;&gt;")</f>
        <v>0</v>
      </c>
      <c r="O1154">
        <f t="shared" ref="O1154:O1201" si="56">SUM(M1154-N1154)</f>
        <v>947.59</v>
      </c>
    </row>
    <row r="1155" spans="1:15" x14ac:dyDescent="0.2">
      <c r="A1155" t="s">
        <v>112</v>
      </c>
      <c r="B1155">
        <v>60563</v>
      </c>
      <c r="C1155" t="s">
        <v>13</v>
      </c>
      <c r="D1155" t="s">
        <v>18</v>
      </c>
      <c r="E1155" s="3">
        <v>44690</v>
      </c>
      <c r="F1155" t="s">
        <v>46</v>
      </c>
      <c r="G1155" s="2">
        <v>44999</v>
      </c>
      <c r="H1155" t="s">
        <v>113</v>
      </c>
      <c r="I1155" s="2">
        <v>44593</v>
      </c>
      <c r="J1155">
        <v>952.37</v>
      </c>
      <c r="K1155">
        <v>26.4</v>
      </c>
      <c r="L1155" t="s">
        <v>19</v>
      </c>
      <c r="M1155">
        <f t="shared" si="54"/>
        <v>952.37</v>
      </c>
      <c r="N1155">
        <f t="shared" si="55"/>
        <v>0</v>
      </c>
      <c r="O1155">
        <f t="shared" si="56"/>
        <v>952.37</v>
      </c>
    </row>
    <row r="1156" spans="1:15" x14ac:dyDescent="0.2">
      <c r="A1156" t="s">
        <v>112</v>
      </c>
      <c r="B1156">
        <v>60563</v>
      </c>
      <c r="C1156" t="s">
        <v>13</v>
      </c>
      <c r="D1156" t="s">
        <v>18</v>
      </c>
      <c r="E1156" s="3">
        <v>44690</v>
      </c>
      <c r="F1156" t="s">
        <v>46</v>
      </c>
      <c r="G1156" s="2">
        <v>44999</v>
      </c>
      <c r="H1156" t="s">
        <v>113</v>
      </c>
      <c r="I1156" s="2">
        <v>44621</v>
      </c>
      <c r="J1156">
        <v>837.2</v>
      </c>
      <c r="K1156">
        <v>29.5</v>
      </c>
      <c r="L1156" t="s">
        <v>19</v>
      </c>
      <c r="M1156">
        <f t="shared" si="54"/>
        <v>837.2</v>
      </c>
      <c r="N1156">
        <f t="shared" si="55"/>
        <v>0</v>
      </c>
      <c r="O1156">
        <f t="shared" si="56"/>
        <v>837.2</v>
      </c>
    </row>
    <row r="1157" spans="1:15" x14ac:dyDescent="0.2">
      <c r="A1157" t="s">
        <v>112</v>
      </c>
      <c r="B1157">
        <v>60563</v>
      </c>
      <c r="C1157" t="s">
        <v>13</v>
      </c>
      <c r="D1157" t="s">
        <v>18</v>
      </c>
      <c r="E1157" s="3">
        <v>44690</v>
      </c>
      <c r="F1157" t="s">
        <v>46</v>
      </c>
      <c r="G1157" s="2">
        <v>44999</v>
      </c>
      <c r="H1157" t="s">
        <v>113</v>
      </c>
      <c r="I1157" s="2">
        <v>44652</v>
      </c>
      <c r="J1157">
        <v>782.81</v>
      </c>
      <c r="K1157">
        <v>50.8</v>
      </c>
      <c r="L1157" t="s">
        <v>16</v>
      </c>
      <c r="M1157">
        <f t="shared" si="54"/>
        <v>782.81</v>
      </c>
      <c r="N1157">
        <f t="shared" si="55"/>
        <v>0</v>
      </c>
      <c r="O1157">
        <f t="shared" si="56"/>
        <v>782.81</v>
      </c>
    </row>
    <row r="1158" spans="1:15" x14ac:dyDescent="0.2">
      <c r="A1158" t="s">
        <v>112</v>
      </c>
      <c r="B1158">
        <v>60563</v>
      </c>
      <c r="C1158" t="s">
        <v>13</v>
      </c>
      <c r="D1158" t="s">
        <v>18</v>
      </c>
      <c r="E1158" s="3">
        <v>44690</v>
      </c>
      <c r="F1158" t="s">
        <v>46</v>
      </c>
      <c r="G1158" s="2">
        <v>44999</v>
      </c>
      <c r="H1158" t="s">
        <v>113</v>
      </c>
      <c r="I1158" s="2">
        <v>44682</v>
      </c>
      <c r="J1158">
        <v>814.62</v>
      </c>
      <c r="K1158">
        <v>46.3</v>
      </c>
      <c r="L1158" t="s">
        <v>16</v>
      </c>
      <c r="M1158">
        <f t="shared" si="54"/>
        <v>814.62</v>
      </c>
      <c r="N1158">
        <f t="shared" si="55"/>
        <v>0</v>
      </c>
      <c r="O1158">
        <f t="shared" si="56"/>
        <v>814.62</v>
      </c>
    </row>
    <row r="1159" spans="1:15" x14ac:dyDescent="0.2">
      <c r="A1159" t="s">
        <v>112</v>
      </c>
      <c r="B1159">
        <v>60563</v>
      </c>
      <c r="C1159" t="s">
        <v>13</v>
      </c>
      <c r="D1159" t="s">
        <v>18</v>
      </c>
      <c r="E1159" s="3">
        <v>44690</v>
      </c>
      <c r="F1159" t="s">
        <v>46</v>
      </c>
      <c r="G1159" s="2">
        <v>44999</v>
      </c>
      <c r="H1159" t="s">
        <v>113</v>
      </c>
      <c r="I1159" s="2">
        <v>44713</v>
      </c>
      <c r="J1159">
        <v>852.21</v>
      </c>
      <c r="K1159">
        <v>61.1</v>
      </c>
      <c r="L1159" t="s">
        <v>16</v>
      </c>
      <c r="M1159">
        <f t="shared" si="54"/>
        <v>852.21</v>
      </c>
      <c r="N1159">
        <f t="shared" si="55"/>
        <v>0</v>
      </c>
      <c r="O1159">
        <f t="shared" si="56"/>
        <v>852.21</v>
      </c>
    </row>
    <row r="1160" spans="1:15" x14ac:dyDescent="0.2">
      <c r="A1160" t="s">
        <v>112</v>
      </c>
      <c r="B1160">
        <v>60563</v>
      </c>
      <c r="C1160" t="s">
        <v>13</v>
      </c>
      <c r="D1160" t="s">
        <v>18</v>
      </c>
      <c r="E1160" s="3">
        <v>44690</v>
      </c>
      <c r="F1160" t="s">
        <v>46</v>
      </c>
      <c r="G1160" s="2">
        <v>44999</v>
      </c>
      <c r="H1160" t="s">
        <v>113</v>
      </c>
      <c r="I1160" s="2">
        <v>44743</v>
      </c>
      <c r="J1160">
        <v>851.81</v>
      </c>
      <c r="K1160">
        <v>27.4</v>
      </c>
      <c r="L1160" t="s">
        <v>19</v>
      </c>
      <c r="M1160">
        <f t="shared" si="54"/>
        <v>851.81</v>
      </c>
      <c r="N1160">
        <f t="shared" si="55"/>
        <v>0</v>
      </c>
      <c r="O1160">
        <f t="shared" si="56"/>
        <v>851.81</v>
      </c>
    </row>
    <row r="1161" spans="1:15" x14ac:dyDescent="0.2">
      <c r="A1161" t="s">
        <v>112</v>
      </c>
      <c r="B1161">
        <v>60563</v>
      </c>
      <c r="C1161" t="s">
        <v>13</v>
      </c>
      <c r="D1161" t="s">
        <v>18</v>
      </c>
      <c r="E1161" s="3">
        <v>44690</v>
      </c>
      <c r="F1161" t="s">
        <v>46</v>
      </c>
      <c r="G1161" s="2">
        <v>44999</v>
      </c>
      <c r="H1161" t="s">
        <v>113</v>
      </c>
      <c r="I1161" s="2">
        <v>44774</v>
      </c>
      <c r="J1161">
        <v>930.8</v>
      </c>
      <c r="K1161">
        <v>54.2</v>
      </c>
      <c r="L1161" t="s">
        <v>16</v>
      </c>
      <c r="M1161">
        <f t="shared" si="54"/>
        <v>930.8</v>
      </c>
      <c r="N1161">
        <f t="shared" si="55"/>
        <v>0</v>
      </c>
      <c r="O1161">
        <f t="shared" si="56"/>
        <v>930.8</v>
      </c>
    </row>
    <row r="1162" spans="1:15" x14ac:dyDescent="0.2">
      <c r="A1162" t="s">
        <v>112</v>
      </c>
      <c r="B1162">
        <v>60563</v>
      </c>
      <c r="C1162" t="s">
        <v>13</v>
      </c>
      <c r="D1162" t="s">
        <v>18</v>
      </c>
      <c r="E1162" s="3">
        <v>44690</v>
      </c>
      <c r="F1162" t="s">
        <v>46</v>
      </c>
      <c r="G1162" s="2">
        <v>44999</v>
      </c>
      <c r="H1162" t="s">
        <v>113</v>
      </c>
      <c r="I1162" s="2">
        <v>44805</v>
      </c>
      <c r="J1162">
        <v>1011.58</v>
      </c>
      <c r="K1162">
        <v>41.9</v>
      </c>
      <c r="L1162" t="s">
        <v>16</v>
      </c>
      <c r="M1162">
        <f t="shared" si="54"/>
        <v>1011.58</v>
      </c>
      <c r="N1162">
        <f t="shared" si="55"/>
        <v>0</v>
      </c>
      <c r="O1162">
        <f t="shared" si="56"/>
        <v>1011.58</v>
      </c>
    </row>
    <row r="1163" spans="1:15" x14ac:dyDescent="0.2">
      <c r="A1163" t="s">
        <v>112</v>
      </c>
      <c r="B1163">
        <v>60563</v>
      </c>
      <c r="C1163" t="s">
        <v>13</v>
      </c>
      <c r="D1163" t="s">
        <v>18</v>
      </c>
      <c r="E1163" s="3">
        <v>44690</v>
      </c>
      <c r="F1163" t="s">
        <v>46</v>
      </c>
      <c r="G1163" s="2">
        <v>44999</v>
      </c>
      <c r="H1163" t="s">
        <v>113</v>
      </c>
      <c r="I1163" s="2">
        <v>44835</v>
      </c>
      <c r="J1163">
        <v>779.47</v>
      </c>
      <c r="K1163">
        <v>74.099999999999994</v>
      </c>
      <c r="L1163" t="s">
        <v>20</v>
      </c>
      <c r="M1163">
        <f t="shared" si="54"/>
        <v>779.47</v>
      </c>
      <c r="N1163">
        <f t="shared" si="55"/>
        <v>0</v>
      </c>
      <c r="O1163">
        <f t="shared" si="56"/>
        <v>779.47</v>
      </c>
    </row>
    <row r="1164" spans="1:15" x14ac:dyDescent="0.2">
      <c r="A1164" t="s">
        <v>112</v>
      </c>
      <c r="B1164">
        <v>60563</v>
      </c>
      <c r="C1164" t="s">
        <v>13</v>
      </c>
      <c r="D1164" t="s">
        <v>18</v>
      </c>
      <c r="E1164" s="3">
        <v>44690</v>
      </c>
      <c r="F1164" t="s">
        <v>46</v>
      </c>
      <c r="G1164" s="2">
        <v>44999</v>
      </c>
      <c r="H1164" t="s">
        <v>113</v>
      </c>
      <c r="I1164" s="2">
        <v>44866</v>
      </c>
      <c r="J1164">
        <v>1015.59</v>
      </c>
      <c r="K1164">
        <v>42.6</v>
      </c>
      <c r="L1164" t="s">
        <v>16</v>
      </c>
      <c r="M1164">
        <f t="shared" si="54"/>
        <v>1015.59</v>
      </c>
      <c r="N1164">
        <f t="shared" si="55"/>
        <v>0</v>
      </c>
      <c r="O1164">
        <f t="shared" si="56"/>
        <v>1015.59</v>
      </c>
    </row>
    <row r="1165" spans="1:15" x14ac:dyDescent="0.2">
      <c r="A1165" t="s">
        <v>112</v>
      </c>
      <c r="B1165">
        <v>60563</v>
      </c>
      <c r="C1165" t="s">
        <v>13</v>
      </c>
      <c r="D1165" t="s">
        <v>18</v>
      </c>
      <c r="E1165" s="3">
        <v>44690</v>
      </c>
      <c r="F1165" t="s">
        <v>46</v>
      </c>
      <c r="G1165" s="2">
        <v>44999</v>
      </c>
      <c r="H1165" t="s">
        <v>113</v>
      </c>
      <c r="I1165" s="2">
        <v>44896</v>
      </c>
      <c r="J1165">
        <v>917.22</v>
      </c>
      <c r="K1165">
        <v>52.3</v>
      </c>
      <c r="L1165" t="s">
        <v>16</v>
      </c>
      <c r="M1165">
        <f t="shared" si="54"/>
        <v>917.22</v>
      </c>
      <c r="N1165">
        <f t="shared" si="55"/>
        <v>0</v>
      </c>
      <c r="O1165">
        <f t="shared" si="56"/>
        <v>917.22</v>
      </c>
    </row>
    <row r="1166" spans="1:15" x14ac:dyDescent="0.2">
      <c r="A1166" t="s">
        <v>112</v>
      </c>
      <c r="B1166">
        <v>60563</v>
      </c>
      <c r="C1166" t="s">
        <v>13</v>
      </c>
      <c r="D1166" t="s">
        <v>18</v>
      </c>
      <c r="E1166" s="3">
        <v>44690</v>
      </c>
      <c r="F1166" t="s">
        <v>46</v>
      </c>
      <c r="G1166" s="2">
        <v>44999</v>
      </c>
      <c r="H1166" t="s">
        <v>113</v>
      </c>
      <c r="I1166" s="2">
        <v>44927</v>
      </c>
      <c r="J1166">
        <v>689.92</v>
      </c>
      <c r="K1166">
        <v>76.2</v>
      </c>
      <c r="L1166" t="s">
        <v>20</v>
      </c>
      <c r="M1166">
        <f t="shared" si="54"/>
        <v>689.92</v>
      </c>
      <c r="N1166">
        <f t="shared" si="55"/>
        <v>0</v>
      </c>
      <c r="O1166">
        <f t="shared" si="56"/>
        <v>689.92</v>
      </c>
    </row>
    <row r="1167" spans="1:15" x14ac:dyDescent="0.2">
      <c r="A1167" t="s">
        <v>112</v>
      </c>
      <c r="B1167">
        <v>60563</v>
      </c>
      <c r="C1167" t="s">
        <v>13</v>
      </c>
      <c r="D1167" t="s">
        <v>18</v>
      </c>
      <c r="E1167" s="3">
        <v>44690</v>
      </c>
      <c r="F1167" t="s">
        <v>46</v>
      </c>
      <c r="G1167" s="2">
        <v>44999</v>
      </c>
      <c r="H1167" t="s">
        <v>113</v>
      </c>
      <c r="I1167" s="2">
        <v>44958</v>
      </c>
      <c r="J1167">
        <v>849.86</v>
      </c>
      <c r="K1167">
        <v>73.7</v>
      </c>
      <c r="L1167" t="s">
        <v>20</v>
      </c>
      <c r="M1167">
        <f t="shared" si="54"/>
        <v>849.86</v>
      </c>
      <c r="N1167">
        <f t="shared" si="55"/>
        <v>0</v>
      </c>
      <c r="O1167">
        <f t="shared" si="56"/>
        <v>849.86</v>
      </c>
    </row>
    <row r="1168" spans="1:15" x14ac:dyDescent="0.2">
      <c r="A1168" t="s">
        <v>112</v>
      </c>
      <c r="B1168">
        <v>60563</v>
      </c>
      <c r="C1168" t="s">
        <v>13</v>
      </c>
      <c r="D1168" t="s">
        <v>18</v>
      </c>
      <c r="E1168" s="3">
        <v>44690</v>
      </c>
      <c r="F1168" t="s">
        <v>46</v>
      </c>
      <c r="G1168" s="2">
        <v>44999</v>
      </c>
      <c r="H1168" t="s">
        <v>113</v>
      </c>
      <c r="I1168" s="2">
        <v>44986</v>
      </c>
      <c r="J1168">
        <v>868.56</v>
      </c>
      <c r="K1168">
        <v>52.8</v>
      </c>
      <c r="L1168" t="s">
        <v>16</v>
      </c>
      <c r="M1168">
        <f t="shared" si="54"/>
        <v>868.56</v>
      </c>
      <c r="N1168">
        <f t="shared" si="55"/>
        <v>0</v>
      </c>
      <c r="O1168">
        <f t="shared" si="56"/>
        <v>868.56</v>
      </c>
    </row>
    <row r="1169" spans="1:15" x14ac:dyDescent="0.2">
      <c r="A1169" t="s">
        <v>112</v>
      </c>
      <c r="B1169">
        <v>60563</v>
      </c>
      <c r="C1169" t="s">
        <v>13</v>
      </c>
      <c r="D1169" t="s">
        <v>18</v>
      </c>
      <c r="E1169" s="3">
        <v>44690</v>
      </c>
      <c r="F1169" t="s">
        <v>46</v>
      </c>
      <c r="G1169" s="2">
        <v>44999</v>
      </c>
      <c r="H1169" t="s">
        <v>113</v>
      </c>
      <c r="I1169" s="2">
        <v>45017</v>
      </c>
      <c r="J1169">
        <v>653.97</v>
      </c>
      <c r="K1169">
        <v>103.1</v>
      </c>
      <c r="L1169" t="s">
        <v>20</v>
      </c>
      <c r="M1169">
        <f t="shared" si="54"/>
        <v>0</v>
      </c>
      <c r="N1169">
        <f t="shared" si="55"/>
        <v>653.97</v>
      </c>
      <c r="O1169">
        <f t="shared" si="56"/>
        <v>-653.97</v>
      </c>
    </row>
    <row r="1170" spans="1:15" x14ac:dyDescent="0.2">
      <c r="A1170" t="s">
        <v>112</v>
      </c>
      <c r="B1170">
        <v>60563</v>
      </c>
      <c r="C1170" t="s">
        <v>13</v>
      </c>
      <c r="D1170" t="s">
        <v>18</v>
      </c>
      <c r="E1170" s="3">
        <v>44690</v>
      </c>
      <c r="F1170" t="s">
        <v>46</v>
      </c>
      <c r="G1170" s="2">
        <v>44999</v>
      </c>
      <c r="H1170" t="s">
        <v>113</v>
      </c>
      <c r="I1170" s="2">
        <v>45047</v>
      </c>
      <c r="J1170">
        <v>873.22</v>
      </c>
      <c r="K1170">
        <v>40.6</v>
      </c>
      <c r="L1170" t="s">
        <v>16</v>
      </c>
      <c r="M1170">
        <f t="shared" si="54"/>
        <v>0</v>
      </c>
      <c r="N1170">
        <f t="shared" si="55"/>
        <v>873.22</v>
      </c>
      <c r="O1170">
        <f t="shared" si="56"/>
        <v>-873.22</v>
      </c>
    </row>
    <row r="1171" spans="1:15" x14ac:dyDescent="0.2">
      <c r="A1171" t="s">
        <v>112</v>
      </c>
      <c r="B1171">
        <v>60563</v>
      </c>
      <c r="C1171" t="s">
        <v>13</v>
      </c>
      <c r="D1171" t="s">
        <v>18</v>
      </c>
      <c r="E1171" s="3">
        <v>44690</v>
      </c>
      <c r="F1171" t="s">
        <v>46</v>
      </c>
      <c r="G1171" s="2">
        <v>44999</v>
      </c>
      <c r="H1171" t="s">
        <v>113</v>
      </c>
      <c r="I1171" s="2">
        <v>45078</v>
      </c>
      <c r="J1171">
        <v>807.51</v>
      </c>
      <c r="K1171">
        <v>76</v>
      </c>
      <c r="L1171" t="s">
        <v>20</v>
      </c>
      <c r="M1171">
        <f t="shared" si="54"/>
        <v>0</v>
      </c>
      <c r="N1171">
        <f t="shared" si="55"/>
        <v>807.51</v>
      </c>
      <c r="O1171">
        <f t="shared" si="56"/>
        <v>-807.51</v>
      </c>
    </row>
    <row r="1172" spans="1:15" x14ac:dyDescent="0.2">
      <c r="A1172" t="s">
        <v>112</v>
      </c>
      <c r="B1172">
        <v>60563</v>
      </c>
      <c r="C1172" t="s">
        <v>13</v>
      </c>
      <c r="D1172" t="s">
        <v>18</v>
      </c>
      <c r="E1172" s="3">
        <v>44690</v>
      </c>
      <c r="F1172" t="s">
        <v>46</v>
      </c>
      <c r="G1172" s="2">
        <v>44999</v>
      </c>
      <c r="H1172" t="s">
        <v>113</v>
      </c>
      <c r="I1172" s="2">
        <v>45108</v>
      </c>
      <c r="J1172">
        <v>936.86</v>
      </c>
      <c r="K1172">
        <v>38.9</v>
      </c>
      <c r="L1172" t="s">
        <v>19</v>
      </c>
      <c r="M1172">
        <f t="shared" si="54"/>
        <v>0</v>
      </c>
      <c r="N1172">
        <f t="shared" si="55"/>
        <v>936.86</v>
      </c>
      <c r="O1172">
        <f t="shared" si="56"/>
        <v>-936.86</v>
      </c>
    </row>
    <row r="1173" spans="1:15" x14ac:dyDescent="0.2">
      <c r="A1173" t="s">
        <v>112</v>
      </c>
      <c r="B1173">
        <v>60563</v>
      </c>
      <c r="C1173" t="s">
        <v>13</v>
      </c>
      <c r="D1173" t="s">
        <v>18</v>
      </c>
      <c r="E1173" s="3">
        <v>44690</v>
      </c>
      <c r="F1173" t="s">
        <v>46</v>
      </c>
      <c r="G1173" s="2">
        <v>44999</v>
      </c>
      <c r="H1173" t="s">
        <v>113</v>
      </c>
      <c r="I1173" s="2">
        <v>45139</v>
      </c>
      <c r="J1173">
        <v>657.6</v>
      </c>
      <c r="K1173">
        <v>80</v>
      </c>
      <c r="L1173" t="s">
        <v>20</v>
      </c>
      <c r="M1173">
        <f t="shared" si="54"/>
        <v>0</v>
      </c>
      <c r="N1173">
        <f t="shared" si="55"/>
        <v>657.6</v>
      </c>
      <c r="O1173">
        <f t="shared" si="56"/>
        <v>-657.6</v>
      </c>
    </row>
    <row r="1174" spans="1:15" x14ac:dyDescent="0.2">
      <c r="A1174" t="s">
        <v>112</v>
      </c>
      <c r="B1174">
        <v>60563</v>
      </c>
      <c r="C1174" t="s">
        <v>13</v>
      </c>
      <c r="D1174" t="s">
        <v>18</v>
      </c>
      <c r="E1174" s="3">
        <v>44690</v>
      </c>
      <c r="F1174" t="s">
        <v>46</v>
      </c>
      <c r="G1174" s="2">
        <v>44999</v>
      </c>
      <c r="H1174" t="s">
        <v>113</v>
      </c>
      <c r="I1174" s="2">
        <v>45170</v>
      </c>
      <c r="J1174">
        <v>664.66</v>
      </c>
      <c r="K1174">
        <v>84.9</v>
      </c>
      <c r="L1174" t="s">
        <v>20</v>
      </c>
      <c r="M1174">
        <f t="shared" si="54"/>
        <v>0</v>
      </c>
      <c r="N1174">
        <f t="shared" si="55"/>
        <v>664.66</v>
      </c>
      <c r="O1174">
        <f t="shared" si="56"/>
        <v>-664.66</v>
      </c>
    </row>
    <row r="1175" spans="1:15" x14ac:dyDescent="0.2">
      <c r="A1175" t="s">
        <v>112</v>
      </c>
      <c r="B1175">
        <v>60563</v>
      </c>
      <c r="C1175" t="s">
        <v>13</v>
      </c>
      <c r="D1175" t="s">
        <v>18</v>
      </c>
      <c r="E1175" s="3">
        <v>44690</v>
      </c>
      <c r="F1175" t="s">
        <v>46</v>
      </c>
      <c r="G1175" s="2">
        <v>44999</v>
      </c>
      <c r="H1175" t="s">
        <v>113</v>
      </c>
      <c r="I1175" s="2">
        <v>45200</v>
      </c>
      <c r="J1175">
        <v>497.33</v>
      </c>
      <c r="K1175">
        <v>80.8</v>
      </c>
      <c r="L1175" t="s">
        <v>20</v>
      </c>
      <c r="M1175">
        <f t="shared" si="54"/>
        <v>0</v>
      </c>
      <c r="N1175">
        <f t="shared" si="55"/>
        <v>497.33</v>
      </c>
      <c r="O1175">
        <f t="shared" si="56"/>
        <v>-497.33</v>
      </c>
    </row>
    <row r="1176" spans="1:15" x14ac:dyDescent="0.2">
      <c r="A1176" t="s">
        <v>112</v>
      </c>
      <c r="B1176">
        <v>60563</v>
      </c>
      <c r="C1176" t="s">
        <v>13</v>
      </c>
      <c r="D1176" t="s">
        <v>18</v>
      </c>
      <c r="E1176" s="3">
        <v>44690</v>
      </c>
      <c r="F1176" t="s">
        <v>46</v>
      </c>
      <c r="G1176" s="2">
        <v>44999</v>
      </c>
      <c r="H1176" t="s">
        <v>113</v>
      </c>
      <c r="I1176" s="2">
        <v>45231</v>
      </c>
      <c r="J1176">
        <v>757.12</v>
      </c>
      <c r="K1176">
        <v>46.5</v>
      </c>
      <c r="L1176" t="s">
        <v>16</v>
      </c>
      <c r="M1176">
        <f t="shared" si="54"/>
        <v>0</v>
      </c>
      <c r="N1176">
        <f t="shared" si="55"/>
        <v>757.12</v>
      </c>
      <c r="O1176">
        <f t="shared" si="56"/>
        <v>-757.12</v>
      </c>
    </row>
    <row r="1177" spans="1:15" x14ac:dyDescent="0.2">
      <c r="A1177" t="s">
        <v>112</v>
      </c>
      <c r="B1177">
        <v>60563</v>
      </c>
      <c r="C1177" t="s">
        <v>13</v>
      </c>
      <c r="D1177" t="s">
        <v>18</v>
      </c>
      <c r="E1177" s="3">
        <v>44690</v>
      </c>
      <c r="F1177" t="s">
        <v>46</v>
      </c>
      <c r="G1177" s="2">
        <v>44999</v>
      </c>
      <c r="H1177" t="s">
        <v>113</v>
      </c>
      <c r="I1177" s="2">
        <v>45261</v>
      </c>
      <c r="J1177">
        <v>737.53</v>
      </c>
      <c r="K1177">
        <v>29.2</v>
      </c>
      <c r="L1177" t="s">
        <v>19</v>
      </c>
      <c r="M1177">
        <f t="shared" si="54"/>
        <v>0</v>
      </c>
      <c r="N1177">
        <f t="shared" si="55"/>
        <v>737.53</v>
      </c>
      <c r="O1177">
        <f t="shared" si="56"/>
        <v>-737.53</v>
      </c>
    </row>
    <row r="1178" spans="1:15" x14ac:dyDescent="0.2">
      <c r="A1178" t="s">
        <v>114</v>
      </c>
      <c r="B1178">
        <v>60563</v>
      </c>
      <c r="C1178" t="s">
        <v>13</v>
      </c>
      <c r="D1178" t="s">
        <v>18</v>
      </c>
      <c r="E1178" s="3">
        <v>44673</v>
      </c>
      <c r="F1178" t="s">
        <v>46</v>
      </c>
      <c r="G1178" s="2">
        <v>44911</v>
      </c>
      <c r="H1178" t="s">
        <v>115</v>
      </c>
      <c r="I1178" s="2">
        <v>44562</v>
      </c>
      <c r="J1178">
        <v>743.7</v>
      </c>
      <c r="K1178">
        <v>43</v>
      </c>
      <c r="L1178" t="s">
        <v>16</v>
      </c>
      <c r="M1178">
        <f t="shared" si="54"/>
        <v>743.7</v>
      </c>
      <c r="N1178">
        <f t="shared" si="55"/>
        <v>0</v>
      </c>
      <c r="O1178">
        <f t="shared" si="56"/>
        <v>743.7</v>
      </c>
    </row>
    <row r="1179" spans="1:15" x14ac:dyDescent="0.2">
      <c r="A1179" t="s">
        <v>114</v>
      </c>
      <c r="B1179">
        <v>60563</v>
      </c>
      <c r="C1179" t="s">
        <v>13</v>
      </c>
      <c r="D1179" t="s">
        <v>18</v>
      </c>
      <c r="E1179" s="3">
        <v>44673</v>
      </c>
      <c r="F1179" t="s">
        <v>46</v>
      </c>
      <c r="G1179" s="2">
        <v>44911</v>
      </c>
      <c r="H1179" t="s">
        <v>115</v>
      </c>
      <c r="I1179" s="2">
        <v>44593</v>
      </c>
      <c r="J1179">
        <v>791.81</v>
      </c>
      <c r="K1179">
        <v>26.4</v>
      </c>
      <c r="L1179" t="s">
        <v>19</v>
      </c>
      <c r="M1179">
        <f t="shared" si="54"/>
        <v>791.81</v>
      </c>
      <c r="N1179">
        <f t="shared" si="55"/>
        <v>0</v>
      </c>
      <c r="O1179">
        <f t="shared" si="56"/>
        <v>791.81</v>
      </c>
    </row>
    <row r="1180" spans="1:15" x14ac:dyDescent="0.2">
      <c r="A1180" t="s">
        <v>114</v>
      </c>
      <c r="B1180">
        <v>60563</v>
      </c>
      <c r="C1180" t="s">
        <v>13</v>
      </c>
      <c r="D1180" t="s">
        <v>18</v>
      </c>
      <c r="E1180" s="3">
        <v>44673</v>
      </c>
      <c r="F1180" t="s">
        <v>46</v>
      </c>
      <c r="G1180" s="2">
        <v>44911</v>
      </c>
      <c r="H1180" t="s">
        <v>115</v>
      </c>
      <c r="I1180" s="2">
        <v>44621</v>
      </c>
      <c r="J1180">
        <v>668.88</v>
      </c>
      <c r="K1180">
        <v>29.5</v>
      </c>
      <c r="L1180" t="s">
        <v>19</v>
      </c>
      <c r="M1180">
        <f t="shared" si="54"/>
        <v>668.88</v>
      </c>
      <c r="N1180">
        <f t="shared" si="55"/>
        <v>0</v>
      </c>
      <c r="O1180">
        <f t="shared" si="56"/>
        <v>668.88</v>
      </c>
    </row>
    <row r="1181" spans="1:15" x14ac:dyDescent="0.2">
      <c r="A1181" t="s">
        <v>114</v>
      </c>
      <c r="B1181">
        <v>60563</v>
      </c>
      <c r="C1181" t="s">
        <v>13</v>
      </c>
      <c r="D1181" t="s">
        <v>18</v>
      </c>
      <c r="E1181" s="3">
        <v>44673</v>
      </c>
      <c r="F1181" t="s">
        <v>46</v>
      </c>
      <c r="G1181" s="2">
        <v>44911</v>
      </c>
      <c r="H1181" t="s">
        <v>115</v>
      </c>
      <c r="I1181" s="2">
        <v>44652</v>
      </c>
      <c r="J1181">
        <v>919.84</v>
      </c>
      <c r="K1181">
        <v>50.8</v>
      </c>
      <c r="L1181" t="s">
        <v>16</v>
      </c>
      <c r="M1181">
        <f t="shared" si="54"/>
        <v>919.84</v>
      </c>
      <c r="N1181">
        <f t="shared" si="55"/>
        <v>0</v>
      </c>
      <c r="O1181">
        <f t="shared" si="56"/>
        <v>919.84</v>
      </c>
    </row>
    <row r="1182" spans="1:15" x14ac:dyDescent="0.2">
      <c r="A1182" t="s">
        <v>114</v>
      </c>
      <c r="B1182">
        <v>60563</v>
      </c>
      <c r="C1182" t="s">
        <v>13</v>
      </c>
      <c r="D1182" t="s">
        <v>18</v>
      </c>
      <c r="E1182" s="3">
        <v>44673</v>
      </c>
      <c r="F1182" t="s">
        <v>46</v>
      </c>
      <c r="G1182" s="2">
        <v>44911</v>
      </c>
      <c r="H1182" t="s">
        <v>115</v>
      </c>
      <c r="I1182" s="2">
        <v>44682</v>
      </c>
      <c r="J1182">
        <v>751.03</v>
      </c>
      <c r="K1182">
        <v>46.3</v>
      </c>
      <c r="L1182" t="s">
        <v>16</v>
      </c>
      <c r="M1182">
        <f t="shared" si="54"/>
        <v>751.03</v>
      </c>
      <c r="N1182">
        <f t="shared" si="55"/>
        <v>0</v>
      </c>
      <c r="O1182">
        <f t="shared" si="56"/>
        <v>751.03</v>
      </c>
    </row>
    <row r="1183" spans="1:15" x14ac:dyDescent="0.2">
      <c r="A1183" t="s">
        <v>114</v>
      </c>
      <c r="B1183">
        <v>60563</v>
      </c>
      <c r="C1183" t="s">
        <v>13</v>
      </c>
      <c r="D1183" t="s">
        <v>18</v>
      </c>
      <c r="E1183" s="3">
        <v>44673</v>
      </c>
      <c r="F1183" t="s">
        <v>46</v>
      </c>
      <c r="G1183" s="2">
        <v>44911</v>
      </c>
      <c r="H1183" t="s">
        <v>115</v>
      </c>
      <c r="I1183" s="2">
        <v>44713</v>
      </c>
      <c r="J1183">
        <v>1109.4000000000001</v>
      </c>
      <c r="K1183">
        <v>61.1</v>
      </c>
      <c r="L1183" t="s">
        <v>16</v>
      </c>
      <c r="M1183">
        <f t="shared" si="54"/>
        <v>1109.4000000000001</v>
      </c>
      <c r="N1183">
        <f t="shared" si="55"/>
        <v>0</v>
      </c>
      <c r="O1183">
        <f t="shared" si="56"/>
        <v>1109.4000000000001</v>
      </c>
    </row>
    <row r="1184" spans="1:15" x14ac:dyDescent="0.2">
      <c r="A1184" t="s">
        <v>114</v>
      </c>
      <c r="B1184">
        <v>60563</v>
      </c>
      <c r="C1184" t="s">
        <v>13</v>
      </c>
      <c r="D1184" t="s">
        <v>18</v>
      </c>
      <c r="E1184" s="3">
        <v>44673</v>
      </c>
      <c r="F1184" t="s">
        <v>46</v>
      </c>
      <c r="G1184" s="2">
        <v>44911</v>
      </c>
      <c r="H1184" t="s">
        <v>115</v>
      </c>
      <c r="I1184" s="2">
        <v>44743</v>
      </c>
      <c r="J1184">
        <v>782.44</v>
      </c>
      <c r="K1184">
        <v>27.4</v>
      </c>
      <c r="L1184" t="s">
        <v>19</v>
      </c>
      <c r="M1184">
        <f t="shared" si="54"/>
        <v>782.44</v>
      </c>
      <c r="N1184">
        <f t="shared" si="55"/>
        <v>0</v>
      </c>
      <c r="O1184">
        <f t="shared" si="56"/>
        <v>782.44</v>
      </c>
    </row>
    <row r="1185" spans="1:15" x14ac:dyDescent="0.2">
      <c r="A1185" t="s">
        <v>114</v>
      </c>
      <c r="B1185">
        <v>60563</v>
      </c>
      <c r="C1185" t="s">
        <v>13</v>
      </c>
      <c r="D1185" t="s">
        <v>18</v>
      </c>
      <c r="E1185" s="3">
        <v>44673</v>
      </c>
      <c r="F1185" t="s">
        <v>46</v>
      </c>
      <c r="G1185" s="2">
        <v>44911</v>
      </c>
      <c r="H1185" t="s">
        <v>115</v>
      </c>
      <c r="I1185" s="2">
        <v>44774</v>
      </c>
      <c r="J1185">
        <v>724.04</v>
      </c>
      <c r="K1185">
        <v>54.2</v>
      </c>
      <c r="L1185" t="s">
        <v>16</v>
      </c>
      <c r="M1185">
        <f t="shared" si="54"/>
        <v>724.04</v>
      </c>
      <c r="N1185">
        <f t="shared" si="55"/>
        <v>0</v>
      </c>
      <c r="O1185">
        <f t="shared" si="56"/>
        <v>724.04</v>
      </c>
    </row>
    <row r="1186" spans="1:15" x14ac:dyDescent="0.2">
      <c r="A1186" t="s">
        <v>114</v>
      </c>
      <c r="B1186">
        <v>60563</v>
      </c>
      <c r="C1186" t="s">
        <v>13</v>
      </c>
      <c r="D1186" t="s">
        <v>18</v>
      </c>
      <c r="E1186" s="3">
        <v>44673</v>
      </c>
      <c r="F1186" t="s">
        <v>46</v>
      </c>
      <c r="G1186" s="2">
        <v>44911</v>
      </c>
      <c r="H1186" t="s">
        <v>115</v>
      </c>
      <c r="I1186" s="2">
        <v>44805</v>
      </c>
      <c r="J1186">
        <v>758.77</v>
      </c>
      <c r="K1186">
        <v>41.9</v>
      </c>
      <c r="L1186" t="s">
        <v>16</v>
      </c>
      <c r="M1186">
        <f t="shared" si="54"/>
        <v>758.77</v>
      </c>
      <c r="N1186">
        <f t="shared" si="55"/>
        <v>0</v>
      </c>
      <c r="O1186">
        <f t="shared" si="56"/>
        <v>758.77</v>
      </c>
    </row>
    <row r="1187" spans="1:15" x14ac:dyDescent="0.2">
      <c r="A1187" t="s">
        <v>114</v>
      </c>
      <c r="B1187">
        <v>60563</v>
      </c>
      <c r="C1187" t="s">
        <v>13</v>
      </c>
      <c r="D1187" t="s">
        <v>18</v>
      </c>
      <c r="E1187" s="3">
        <v>44673</v>
      </c>
      <c r="F1187" t="s">
        <v>46</v>
      </c>
      <c r="G1187" s="2">
        <v>44911</v>
      </c>
      <c r="H1187" t="s">
        <v>115</v>
      </c>
      <c r="I1187" s="2">
        <v>44835</v>
      </c>
      <c r="J1187">
        <v>658.8</v>
      </c>
      <c r="K1187">
        <v>74.099999999999994</v>
      </c>
      <c r="L1187" t="s">
        <v>20</v>
      </c>
      <c r="M1187">
        <f t="shared" si="54"/>
        <v>658.8</v>
      </c>
      <c r="N1187">
        <f t="shared" si="55"/>
        <v>0</v>
      </c>
      <c r="O1187">
        <f t="shared" si="56"/>
        <v>658.8</v>
      </c>
    </row>
    <row r="1188" spans="1:15" x14ac:dyDescent="0.2">
      <c r="A1188" t="s">
        <v>114</v>
      </c>
      <c r="B1188">
        <v>60563</v>
      </c>
      <c r="C1188" t="s">
        <v>13</v>
      </c>
      <c r="D1188" t="s">
        <v>18</v>
      </c>
      <c r="E1188" s="3">
        <v>44673</v>
      </c>
      <c r="F1188" t="s">
        <v>46</v>
      </c>
      <c r="G1188" s="2">
        <v>44911</v>
      </c>
      <c r="H1188" t="s">
        <v>115</v>
      </c>
      <c r="I1188" s="2">
        <v>44866</v>
      </c>
      <c r="J1188">
        <v>848.23</v>
      </c>
      <c r="K1188">
        <v>42.6</v>
      </c>
      <c r="L1188" t="s">
        <v>16</v>
      </c>
      <c r="M1188">
        <f t="shared" si="54"/>
        <v>848.23</v>
      </c>
      <c r="N1188">
        <f t="shared" si="55"/>
        <v>0</v>
      </c>
      <c r="O1188">
        <f t="shared" si="56"/>
        <v>848.23</v>
      </c>
    </row>
    <row r="1189" spans="1:15" x14ac:dyDescent="0.2">
      <c r="A1189" t="s">
        <v>114</v>
      </c>
      <c r="B1189">
        <v>60563</v>
      </c>
      <c r="C1189" t="s">
        <v>13</v>
      </c>
      <c r="D1189" t="s">
        <v>18</v>
      </c>
      <c r="E1189" s="3">
        <v>44673</v>
      </c>
      <c r="F1189" t="s">
        <v>46</v>
      </c>
      <c r="G1189" s="2">
        <v>44911</v>
      </c>
      <c r="H1189" t="s">
        <v>115</v>
      </c>
      <c r="I1189" s="2">
        <v>44896</v>
      </c>
      <c r="J1189">
        <v>758.01</v>
      </c>
      <c r="K1189">
        <v>52.3</v>
      </c>
      <c r="L1189" t="s">
        <v>16</v>
      </c>
      <c r="M1189">
        <f t="shared" si="54"/>
        <v>758.01</v>
      </c>
      <c r="N1189">
        <f t="shared" si="55"/>
        <v>0</v>
      </c>
      <c r="O1189">
        <f t="shared" si="56"/>
        <v>758.01</v>
      </c>
    </row>
    <row r="1190" spans="1:15" x14ac:dyDescent="0.2">
      <c r="A1190" t="s">
        <v>114</v>
      </c>
      <c r="B1190">
        <v>60563</v>
      </c>
      <c r="C1190" t="s">
        <v>13</v>
      </c>
      <c r="D1190" t="s">
        <v>18</v>
      </c>
      <c r="E1190" s="3">
        <v>44673</v>
      </c>
      <c r="F1190" t="s">
        <v>46</v>
      </c>
      <c r="G1190" s="2">
        <v>44911</v>
      </c>
      <c r="H1190" t="s">
        <v>115</v>
      </c>
      <c r="I1190" s="2">
        <v>44927</v>
      </c>
      <c r="J1190">
        <v>813.13</v>
      </c>
      <c r="K1190">
        <v>76.2</v>
      </c>
      <c r="L1190" t="s">
        <v>20</v>
      </c>
      <c r="M1190">
        <f t="shared" si="54"/>
        <v>0</v>
      </c>
      <c r="N1190">
        <f t="shared" si="55"/>
        <v>813.13</v>
      </c>
      <c r="O1190">
        <f t="shared" si="56"/>
        <v>-813.13</v>
      </c>
    </row>
    <row r="1191" spans="1:15" x14ac:dyDescent="0.2">
      <c r="A1191" t="s">
        <v>114</v>
      </c>
      <c r="B1191">
        <v>60563</v>
      </c>
      <c r="C1191" t="s">
        <v>13</v>
      </c>
      <c r="D1191" t="s">
        <v>18</v>
      </c>
      <c r="E1191" s="3">
        <v>44673</v>
      </c>
      <c r="F1191" t="s">
        <v>46</v>
      </c>
      <c r="G1191" s="2">
        <v>44911</v>
      </c>
      <c r="H1191" t="s">
        <v>115</v>
      </c>
      <c r="I1191" s="2">
        <v>44958</v>
      </c>
      <c r="J1191">
        <v>672.53</v>
      </c>
      <c r="K1191">
        <v>73.7</v>
      </c>
      <c r="L1191" t="s">
        <v>20</v>
      </c>
      <c r="M1191">
        <f t="shared" si="54"/>
        <v>0</v>
      </c>
      <c r="N1191">
        <f t="shared" si="55"/>
        <v>672.53</v>
      </c>
      <c r="O1191">
        <f t="shared" si="56"/>
        <v>-672.53</v>
      </c>
    </row>
    <row r="1192" spans="1:15" x14ac:dyDescent="0.2">
      <c r="A1192" t="s">
        <v>114</v>
      </c>
      <c r="B1192">
        <v>60563</v>
      </c>
      <c r="C1192" t="s">
        <v>13</v>
      </c>
      <c r="D1192" t="s">
        <v>18</v>
      </c>
      <c r="E1192" s="3">
        <v>44673</v>
      </c>
      <c r="F1192" t="s">
        <v>46</v>
      </c>
      <c r="G1192" s="2">
        <v>44911</v>
      </c>
      <c r="H1192" t="s">
        <v>115</v>
      </c>
      <c r="I1192" s="2">
        <v>44986</v>
      </c>
      <c r="J1192">
        <v>838.44</v>
      </c>
      <c r="K1192">
        <v>52.8</v>
      </c>
      <c r="L1192" t="s">
        <v>16</v>
      </c>
      <c r="M1192">
        <f t="shared" si="54"/>
        <v>0</v>
      </c>
      <c r="N1192">
        <f t="shared" si="55"/>
        <v>838.44</v>
      </c>
      <c r="O1192">
        <f t="shared" si="56"/>
        <v>-838.44</v>
      </c>
    </row>
    <row r="1193" spans="1:15" x14ac:dyDescent="0.2">
      <c r="A1193" t="s">
        <v>114</v>
      </c>
      <c r="B1193">
        <v>60563</v>
      </c>
      <c r="C1193" t="s">
        <v>13</v>
      </c>
      <c r="D1193" t="s">
        <v>18</v>
      </c>
      <c r="E1193" s="3">
        <v>44673</v>
      </c>
      <c r="F1193" t="s">
        <v>46</v>
      </c>
      <c r="G1193" s="2">
        <v>44911</v>
      </c>
      <c r="H1193" t="s">
        <v>115</v>
      </c>
      <c r="I1193" s="2">
        <v>45017</v>
      </c>
      <c r="J1193">
        <v>775.75</v>
      </c>
      <c r="K1193">
        <v>103.1</v>
      </c>
      <c r="L1193" t="s">
        <v>20</v>
      </c>
      <c r="M1193">
        <f t="shared" si="54"/>
        <v>0</v>
      </c>
      <c r="N1193">
        <f t="shared" si="55"/>
        <v>775.75</v>
      </c>
      <c r="O1193">
        <f t="shared" si="56"/>
        <v>-775.75</v>
      </c>
    </row>
    <row r="1194" spans="1:15" x14ac:dyDescent="0.2">
      <c r="A1194" t="s">
        <v>114</v>
      </c>
      <c r="B1194">
        <v>60563</v>
      </c>
      <c r="C1194" t="s">
        <v>13</v>
      </c>
      <c r="D1194" t="s">
        <v>18</v>
      </c>
      <c r="E1194" s="3">
        <v>44673</v>
      </c>
      <c r="F1194" t="s">
        <v>46</v>
      </c>
      <c r="G1194" s="2">
        <v>44911</v>
      </c>
      <c r="H1194" t="s">
        <v>115</v>
      </c>
      <c r="I1194" s="2">
        <v>45047</v>
      </c>
      <c r="J1194">
        <v>702.86</v>
      </c>
      <c r="K1194">
        <v>40.6</v>
      </c>
      <c r="L1194" t="s">
        <v>16</v>
      </c>
      <c r="M1194">
        <f t="shared" si="54"/>
        <v>0</v>
      </c>
      <c r="N1194">
        <f t="shared" si="55"/>
        <v>702.86</v>
      </c>
      <c r="O1194">
        <f t="shared" si="56"/>
        <v>-702.86</v>
      </c>
    </row>
    <row r="1195" spans="1:15" x14ac:dyDescent="0.2">
      <c r="A1195" t="s">
        <v>114</v>
      </c>
      <c r="B1195">
        <v>60563</v>
      </c>
      <c r="C1195" t="s">
        <v>13</v>
      </c>
      <c r="D1195" t="s">
        <v>18</v>
      </c>
      <c r="E1195" s="3">
        <v>44673</v>
      </c>
      <c r="F1195" t="s">
        <v>46</v>
      </c>
      <c r="G1195" s="2">
        <v>44911</v>
      </c>
      <c r="H1195" t="s">
        <v>115</v>
      </c>
      <c r="I1195" s="2">
        <v>45078</v>
      </c>
      <c r="J1195">
        <v>858.02</v>
      </c>
      <c r="K1195">
        <v>76</v>
      </c>
      <c r="L1195" t="s">
        <v>20</v>
      </c>
      <c r="M1195">
        <f t="shared" si="54"/>
        <v>0</v>
      </c>
      <c r="N1195">
        <f t="shared" si="55"/>
        <v>858.02</v>
      </c>
      <c r="O1195">
        <f t="shared" si="56"/>
        <v>-858.02</v>
      </c>
    </row>
    <row r="1196" spans="1:15" x14ac:dyDescent="0.2">
      <c r="A1196" t="s">
        <v>114</v>
      </c>
      <c r="B1196">
        <v>60563</v>
      </c>
      <c r="C1196" t="s">
        <v>13</v>
      </c>
      <c r="D1196" t="s">
        <v>18</v>
      </c>
      <c r="E1196" s="3">
        <v>44673</v>
      </c>
      <c r="F1196" t="s">
        <v>46</v>
      </c>
      <c r="G1196" s="2">
        <v>44911</v>
      </c>
      <c r="H1196" t="s">
        <v>115</v>
      </c>
      <c r="I1196" s="2">
        <v>45108</v>
      </c>
      <c r="J1196">
        <v>795.23</v>
      </c>
      <c r="K1196">
        <v>38.9</v>
      </c>
      <c r="L1196" t="s">
        <v>19</v>
      </c>
      <c r="M1196">
        <f t="shared" si="54"/>
        <v>0</v>
      </c>
      <c r="N1196">
        <f t="shared" si="55"/>
        <v>795.23</v>
      </c>
      <c r="O1196">
        <f t="shared" si="56"/>
        <v>-795.23</v>
      </c>
    </row>
    <row r="1197" spans="1:15" x14ac:dyDescent="0.2">
      <c r="A1197" t="s">
        <v>114</v>
      </c>
      <c r="B1197">
        <v>60563</v>
      </c>
      <c r="C1197" t="s">
        <v>13</v>
      </c>
      <c r="D1197" t="s">
        <v>18</v>
      </c>
      <c r="E1197" s="3">
        <v>44673</v>
      </c>
      <c r="F1197" t="s">
        <v>46</v>
      </c>
      <c r="G1197" s="2">
        <v>44911</v>
      </c>
      <c r="H1197" t="s">
        <v>115</v>
      </c>
      <c r="I1197" s="2">
        <v>45139</v>
      </c>
      <c r="J1197">
        <v>994.62</v>
      </c>
      <c r="K1197">
        <v>80</v>
      </c>
      <c r="L1197" t="s">
        <v>20</v>
      </c>
      <c r="M1197">
        <f t="shared" si="54"/>
        <v>0</v>
      </c>
      <c r="N1197">
        <f t="shared" si="55"/>
        <v>994.62</v>
      </c>
      <c r="O1197">
        <f t="shared" si="56"/>
        <v>-994.62</v>
      </c>
    </row>
    <row r="1198" spans="1:15" x14ac:dyDescent="0.2">
      <c r="A1198" t="s">
        <v>114</v>
      </c>
      <c r="B1198">
        <v>60563</v>
      </c>
      <c r="C1198" t="s">
        <v>13</v>
      </c>
      <c r="D1198" t="s">
        <v>18</v>
      </c>
      <c r="E1198" s="3">
        <v>44673</v>
      </c>
      <c r="F1198" t="s">
        <v>46</v>
      </c>
      <c r="G1198" s="2">
        <v>44911</v>
      </c>
      <c r="H1198" t="s">
        <v>115</v>
      </c>
      <c r="I1198" s="2">
        <v>45170</v>
      </c>
      <c r="J1198">
        <v>659.05</v>
      </c>
      <c r="K1198">
        <v>84.9</v>
      </c>
      <c r="L1198" t="s">
        <v>20</v>
      </c>
      <c r="M1198">
        <f t="shared" si="54"/>
        <v>0</v>
      </c>
      <c r="N1198">
        <f t="shared" si="55"/>
        <v>659.05</v>
      </c>
      <c r="O1198">
        <f t="shared" si="56"/>
        <v>-659.05</v>
      </c>
    </row>
    <row r="1199" spans="1:15" x14ac:dyDescent="0.2">
      <c r="A1199" t="s">
        <v>114</v>
      </c>
      <c r="B1199">
        <v>60563</v>
      </c>
      <c r="C1199" t="s">
        <v>13</v>
      </c>
      <c r="D1199" t="s">
        <v>18</v>
      </c>
      <c r="E1199" s="3">
        <v>44673</v>
      </c>
      <c r="F1199" t="s">
        <v>46</v>
      </c>
      <c r="G1199" s="2">
        <v>44911</v>
      </c>
      <c r="H1199" t="s">
        <v>115</v>
      </c>
      <c r="I1199" s="2">
        <v>45200</v>
      </c>
      <c r="J1199">
        <v>707.66</v>
      </c>
      <c r="K1199">
        <v>80.8</v>
      </c>
      <c r="L1199" t="s">
        <v>20</v>
      </c>
      <c r="M1199">
        <f t="shared" si="54"/>
        <v>0</v>
      </c>
      <c r="N1199">
        <f t="shared" si="55"/>
        <v>707.66</v>
      </c>
      <c r="O1199">
        <f t="shared" si="56"/>
        <v>-707.66</v>
      </c>
    </row>
    <row r="1200" spans="1:15" x14ac:dyDescent="0.2">
      <c r="A1200" t="s">
        <v>114</v>
      </c>
      <c r="B1200">
        <v>60563</v>
      </c>
      <c r="C1200" t="s">
        <v>13</v>
      </c>
      <c r="D1200" t="s">
        <v>18</v>
      </c>
      <c r="E1200" s="3">
        <v>44673</v>
      </c>
      <c r="F1200" t="s">
        <v>46</v>
      </c>
      <c r="G1200" s="2">
        <v>44911</v>
      </c>
      <c r="H1200" t="s">
        <v>115</v>
      </c>
      <c r="I1200" s="2">
        <v>45231</v>
      </c>
      <c r="J1200">
        <v>856.87</v>
      </c>
      <c r="K1200">
        <v>46.5</v>
      </c>
      <c r="L1200" t="s">
        <v>16</v>
      </c>
      <c r="M1200">
        <f t="shared" si="54"/>
        <v>0</v>
      </c>
      <c r="N1200">
        <f t="shared" si="55"/>
        <v>856.87</v>
      </c>
      <c r="O1200">
        <f t="shared" si="56"/>
        <v>-856.87</v>
      </c>
    </row>
    <row r="1201" spans="1:15" x14ac:dyDescent="0.2">
      <c r="A1201" t="s">
        <v>114</v>
      </c>
      <c r="B1201">
        <v>60563</v>
      </c>
      <c r="C1201" t="s">
        <v>13</v>
      </c>
      <c r="D1201" t="s">
        <v>18</v>
      </c>
      <c r="E1201" s="3">
        <v>44673</v>
      </c>
      <c r="F1201" t="s">
        <v>46</v>
      </c>
      <c r="G1201" s="2">
        <v>44911</v>
      </c>
      <c r="H1201" t="s">
        <v>115</v>
      </c>
      <c r="I1201" s="2">
        <v>45261</v>
      </c>
      <c r="J1201">
        <v>545.65</v>
      </c>
      <c r="K1201">
        <v>29.2</v>
      </c>
      <c r="L1201" t="s">
        <v>19</v>
      </c>
      <c r="M1201">
        <f t="shared" si="54"/>
        <v>0</v>
      </c>
      <c r="N1201">
        <f t="shared" si="55"/>
        <v>545.65</v>
      </c>
      <c r="O1201">
        <f t="shared" si="56"/>
        <v>-545.65</v>
      </c>
    </row>
    <row r="1202" spans="1:15" x14ac:dyDescent="0.2">
      <c r="A1202" t="s">
        <v>117</v>
      </c>
      <c r="M1202">
        <f>SUBTOTAL(109,ecorp_customer_info_dataset[kWh_Pre_Program])</f>
        <v>394331.8299999999</v>
      </c>
      <c r="N1202">
        <f>SUBTOTAL(109,ecorp_customer_info_dataset[kWh_Post_Program])</f>
        <v>329391.55999999982</v>
      </c>
      <c r="O1202">
        <f>SUBTOTAL(109,ecorp_customer_info_dataset[Total kWh Saved])</f>
        <v>64940.269999999931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D757AC-2F56-8D44-A480-414001ED72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ecorp_customer_info_dataset_USE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McElroy, Janita</dc:creator>
  <cp:lastModifiedBy>McElroy, Janita</cp:lastModifiedBy>
  <dcterms:created xsi:type="dcterms:W3CDTF">2025-08-03T00:02:36Z</dcterms:created>
  <dcterms:modified xsi:type="dcterms:W3CDTF">2025-08-19T15:55:01Z</dcterms:modified>
</cp:coreProperties>
</file>